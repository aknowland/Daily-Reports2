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tie\OneDrive\Documents\Timesheets\"/>
    </mc:Choice>
  </mc:AlternateContent>
  <xr:revisionPtr revIDLastSave="0" documentId="13_ncr:1_{080AFEDC-8D64-4C26-A6F8-400F09D738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Jan 2026" sheetId="2" r:id="rId1"/>
    <sheet name="Feb 2026" sheetId="16" r:id="rId2"/>
    <sheet name="Mar 2026" sheetId="17" r:id="rId3"/>
    <sheet name="Apr 2026" sheetId="18" r:id="rId4"/>
    <sheet name="May 2026" sheetId="19" r:id="rId5"/>
    <sheet name="June 2026" sheetId="20" r:id="rId6"/>
    <sheet name="July 2026" sheetId="21" r:id="rId7"/>
    <sheet name="Aug 2026" sheetId="22" r:id="rId8"/>
    <sheet name="Sept 2026" sheetId="23" r:id="rId9"/>
    <sheet name="Oct 2026" sheetId="24" r:id="rId10"/>
    <sheet name="Nov 2026" sheetId="25" r:id="rId11"/>
    <sheet name="Dec 2026" sheetId="26" r:id="rId12"/>
    <sheet name="May 2021" sheetId="6" state="hidden" r:id="rId13"/>
    <sheet name="June 2021" sheetId="7" state="hidden" r:id="rId14"/>
    <sheet name="July 2021" sheetId="8" state="hidden" r:id="rId15"/>
    <sheet name="Aug 2021" sheetId="9" state="hidden" r:id="rId16"/>
    <sheet name="Sept 2021" sheetId="10" state="hidden" r:id="rId17"/>
    <sheet name="Oct 2021" sheetId="11" state="hidden" r:id="rId18"/>
    <sheet name="Nov 2021" sheetId="12" state="hidden" r:id="rId19"/>
    <sheet name="Dec 2021" sheetId="13" state="hidden" r:id="rId20"/>
  </sheets>
  <definedNames>
    <definedName name="dates">'Aug 2021'!$R$17:$S$24</definedName>
    <definedName name="HO">'Aug 2021'!$R$17:$R$23</definedName>
    <definedName name="holiday">#REF!</definedName>
    <definedName name="holidays">'Aug 2021'!$R$17:$S$24</definedName>
    <definedName name="_xlnm.Print_Area" localSheetId="3">'Apr 2026'!$A$1:$R$57</definedName>
    <definedName name="_xlnm.Print_Area" localSheetId="15">'Aug 2021'!$A$1:$R$58</definedName>
    <definedName name="_xlnm.Print_Area" localSheetId="7">'Aug 2026'!$A$1:$R$58</definedName>
    <definedName name="_xlnm.Print_Area" localSheetId="19">'Dec 2021'!$A$1:$R$57</definedName>
    <definedName name="_xlnm.Print_Area" localSheetId="11">'Dec 2026'!$A$1:$R$58</definedName>
    <definedName name="_xlnm.Print_Area" localSheetId="1">'Feb 2026'!$A$1:$R$56</definedName>
    <definedName name="_xlnm.Print_Area" localSheetId="0">'Jan 2026'!$A$1:$R$58</definedName>
    <definedName name="_xlnm.Print_Area" localSheetId="14">'July 2021'!$A$1:$R$58</definedName>
    <definedName name="_xlnm.Print_Area" localSheetId="6">'July 2026'!$A$1:$R$59</definedName>
    <definedName name="_xlnm.Print_Area" localSheetId="13">'June 2021'!$A$1:$R$58</definedName>
    <definedName name="_xlnm.Print_Area" localSheetId="5">'June 2026'!$A$1:$R$57</definedName>
    <definedName name="_xlnm.Print_Area" localSheetId="2">'Mar 2026'!$A$1:$R$58</definedName>
    <definedName name="_xlnm.Print_Area" localSheetId="12">'May 2021'!$A$1:$R$58</definedName>
    <definedName name="_xlnm.Print_Area" localSheetId="4">'May 2026'!$A$1:$R$59</definedName>
    <definedName name="_xlnm.Print_Area" localSheetId="18">'Nov 2021'!$A$1:$R$57</definedName>
    <definedName name="_xlnm.Print_Area" localSheetId="10">'Nov 2026'!$A$1:$R$57</definedName>
    <definedName name="_xlnm.Print_Area" localSheetId="17">'Oct 2021'!$A$1:$R$57</definedName>
    <definedName name="_xlnm.Print_Area" localSheetId="9">'Oct 2026'!$A$1:$R$58</definedName>
    <definedName name="_xlnm.Print_Area" localSheetId="16">'Sept 2021'!$A$1:$R$58</definedName>
    <definedName name="_xlnm.Print_Area" localSheetId="8">'Sept 2026'!$A$1:$R$57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19" l="1"/>
  <c r="E23" i="2"/>
  <c r="H23" i="2"/>
  <c r="K23" i="2"/>
  <c r="N23" i="2"/>
  <c r="B23" i="2"/>
  <c r="B42" i="22"/>
  <c r="E43" i="2"/>
  <c r="E43" i="21"/>
  <c r="B42" i="21"/>
  <c r="B43" i="21"/>
  <c r="B44" i="21"/>
  <c r="N49" i="26"/>
  <c r="K49" i="26"/>
  <c r="H49" i="26"/>
  <c r="E49" i="26"/>
  <c r="B49" i="26"/>
  <c r="N45" i="26"/>
  <c r="K45" i="26"/>
  <c r="H45" i="26"/>
  <c r="E45" i="26"/>
  <c r="B45" i="26"/>
  <c r="N44" i="26"/>
  <c r="K44" i="26"/>
  <c r="H44" i="26"/>
  <c r="E44" i="26"/>
  <c r="B44" i="26"/>
  <c r="N43" i="26"/>
  <c r="K43" i="26"/>
  <c r="H43" i="26"/>
  <c r="E43" i="26"/>
  <c r="B43" i="26"/>
  <c r="N42" i="26"/>
  <c r="K42" i="26"/>
  <c r="H42" i="26"/>
  <c r="E42" i="26"/>
  <c r="B42" i="26"/>
  <c r="N25" i="26"/>
  <c r="N48" i="26" s="1"/>
  <c r="K25" i="26"/>
  <c r="K48" i="26" s="1"/>
  <c r="H25" i="26"/>
  <c r="H48" i="26" s="1"/>
  <c r="E25" i="26"/>
  <c r="E48" i="26" s="1"/>
  <c r="B25" i="26"/>
  <c r="B48" i="26" s="1"/>
  <c r="N24" i="26"/>
  <c r="N47" i="26" s="1"/>
  <c r="K24" i="26"/>
  <c r="K47" i="26" s="1"/>
  <c r="H24" i="26"/>
  <c r="H47" i="26" s="1"/>
  <c r="E24" i="26"/>
  <c r="R24" i="26" s="1"/>
  <c r="B24" i="26"/>
  <c r="B47" i="26" s="1"/>
  <c r="N23" i="26"/>
  <c r="N46" i="26" s="1"/>
  <c r="K23" i="26"/>
  <c r="K46" i="26" s="1"/>
  <c r="H23" i="26"/>
  <c r="H46" i="26" s="1"/>
  <c r="E23" i="26"/>
  <c r="B23" i="26"/>
  <c r="B46" i="26" s="1"/>
  <c r="A9" i="26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N48" i="25"/>
  <c r="K48" i="25"/>
  <c r="H48" i="25"/>
  <c r="E48" i="25"/>
  <c r="B48" i="25"/>
  <c r="N44" i="25"/>
  <c r="K44" i="25"/>
  <c r="H44" i="25"/>
  <c r="E44" i="25"/>
  <c r="B44" i="25"/>
  <c r="N43" i="25"/>
  <c r="K43" i="25"/>
  <c r="H43" i="25"/>
  <c r="E43" i="25"/>
  <c r="B43" i="25"/>
  <c r="N42" i="25"/>
  <c r="K42" i="25"/>
  <c r="H42" i="25"/>
  <c r="E42" i="25"/>
  <c r="B42" i="25"/>
  <c r="N41" i="25"/>
  <c r="K41" i="25"/>
  <c r="H41" i="25"/>
  <c r="E41" i="25"/>
  <c r="B41" i="25"/>
  <c r="N25" i="25"/>
  <c r="K25" i="25"/>
  <c r="K47" i="25" s="1"/>
  <c r="H25" i="25"/>
  <c r="H47" i="25" s="1"/>
  <c r="E25" i="25"/>
  <c r="B25" i="25"/>
  <c r="N24" i="25"/>
  <c r="K24" i="25"/>
  <c r="H24" i="25"/>
  <c r="E24" i="25"/>
  <c r="B24" i="25"/>
  <c r="N23" i="25"/>
  <c r="K23" i="25"/>
  <c r="H23" i="25"/>
  <c r="E23" i="25"/>
  <c r="B23" i="25"/>
  <c r="A9" i="25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N49" i="24"/>
  <c r="K49" i="24"/>
  <c r="H49" i="24"/>
  <c r="E49" i="24"/>
  <c r="B49" i="24"/>
  <c r="N45" i="24"/>
  <c r="K45" i="24"/>
  <c r="H45" i="24"/>
  <c r="E45" i="24"/>
  <c r="B45" i="24"/>
  <c r="N44" i="24"/>
  <c r="K44" i="24"/>
  <c r="H44" i="24"/>
  <c r="E44" i="24"/>
  <c r="B44" i="24"/>
  <c r="N43" i="24"/>
  <c r="K43" i="24"/>
  <c r="H43" i="24"/>
  <c r="E43" i="24"/>
  <c r="B43" i="24"/>
  <c r="N42" i="24"/>
  <c r="K42" i="24"/>
  <c r="H42" i="24"/>
  <c r="E42" i="24"/>
  <c r="B42" i="24"/>
  <c r="N25" i="24"/>
  <c r="N48" i="24" s="1"/>
  <c r="K25" i="24"/>
  <c r="K48" i="24" s="1"/>
  <c r="H25" i="24"/>
  <c r="E25" i="24"/>
  <c r="B25" i="24"/>
  <c r="R25" i="24" s="1"/>
  <c r="N24" i="24"/>
  <c r="N47" i="24" s="1"/>
  <c r="K24" i="24"/>
  <c r="H24" i="24"/>
  <c r="E24" i="24"/>
  <c r="E47" i="24" s="1"/>
  <c r="B24" i="24"/>
  <c r="B47" i="24" s="1"/>
  <c r="N23" i="24"/>
  <c r="K23" i="24"/>
  <c r="H23" i="24"/>
  <c r="H46" i="24" s="1"/>
  <c r="E23" i="24"/>
  <c r="E46" i="24" s="1"/>
  <c r="B23" i="24"/>
  <c r="A9" i="24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N48" i="23"/>
  <c r="K48" i="23"/>
  <c r="H48" i="23"/>
  <c r="E48" i="23"/>
  <c r="B48" i="23"/>
  <c r="N44" i="23"/>
  <c r="K44" i="23"/>
  <c r="H44" i="23"/>
  <c r="E44" i="23"/>
  <c r="B44" i="23"/>
  <c r="N43" i="23"/>
  <c r="K43" i="23"/>
  <c r="H43" i="23"/>
  <c r="E43" i="23"/>
  <c r="B43" i="23"/>
  <c r="R43" i="23" s="1"/>
  <c r="N42" i="23"/>
  <c r="K42" i="23"/>
  <c r="H42" i="23"/>
  <c r="E42" i="23"/>
  <c r="B42" i="23"/>
  <c r="R42" i="23" s="1"/>
  <c r="N41" i="23"/>
  <c r="K41" i="23"/>
  <c r="H41" i="23"/>
  <c r="E41" i="23"/>
  <c r="B41" i="23"/>
  <c r="R41" i="23" s="1"/>
  <c r="N25" i="23"/>
  <c r="N47" i="23" s="1"/>
  <c r="K25" i="23"/>
  <c r="K47" i="23" s="1"/>
  <c r="H25" i="23"/>
  <c r="H47" i="23" s="1"/>
  <c r="E25" i="23"/>
  <c r="E47" i="23" s="1"/>
  <c r="B25" i="23"/>
  <c r="N24" i="23"/>
  <c r="N46" i="23" s="1"/>
  <c r="K24" i="23"/>
  <c r="K46" i="23" s="1"/>
  <c r="H24" i="23"/>
  <c r="H46" i="23" s="1"/>
  <c r="E24" i="23"/>
  <c r="E46" i="23" s="1"/>
  <c r="B24" i="23"/>
  <c r="B46" i="23" s="1"/>
  <c r="N23" i="23"/>
  <c r="N45" i="23" s="1"/>
  <c r="K23" i="23"/>
  <c r="K45" i="23" s="1"/>
  <c r="H23" i="23"/>
  <c r="H45" i="23" s="1"/>
  <c r="E23" i="23"/>
  <c r="E45" i="23" s="1"/>
  <c r="B23" i="23"/>
  <c r="A9" i="23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N49" i="22"/>
  <c r="K49" i="22"/>
  <c r="H49" i="22"/>
  <c r="E49" i="22"/>
  <c r="B49" i="22"/>
  <c r="N45" i="22"/>
  <c r="K45" i="22"/>
  <c r="H45" i="22"/>
  <c r="E45" i="22"/>
  <c r="B45" i="22"/>
  <c r="N44" i="22"/>
  <c r="K44" i="22"/>
  <c r="H44" i="22"/>
  <c r="E44" i="22"/>
  <c r="B44" i="22"/>
  <c r="N43" i="22"/>
  <c r="K43" i="22"/>
  <c r="H43" i="22"/>
  <c r="E43" i="22"/>
  <c r="B43" i="22"/>
  <c r="N42" i="22"/>
  <c r="K42" i="22"/>
  <c r="H42" i="22"/>
  <c r="E42" i="22"/>
  <c r="R42" i="22"/>
  <c r="N25" i="22"/>
  <c r="N48" i="22" s="1"/>
  <c r="K25" i="22"/>
  <c r="H25" i="22"/>
  <c r="E25" i="22"/>
  <c r="E48" i="22" s="1"/>
  <c r="B25" i="22"/>
  <c r="B48" i="22" s="1"/>
  <c r="N24" i="22"/>
  <c r="N47" i="22" s="1"/>
  <c r="K24" i="22"/>
  <c r="K47" i="22" s="1"/>
  <c r="H24" i="22"/>
  <c r="H47" i="22" s="1"/>
  <c r="E24" i="22"/>
  <c r="E47" i="22" s="1"/>
  <c r="B24" i="22"/>
  <c r="B47" i="22" s="1"/>
  <c r="N23" i="22"/>
  <c r="N46" i="22" s="1"/>
  <c r="K23" i="22"/>
  <c r="K46" i="22" s="1"/>
  <c r="H23" i="22"/>
  <c r="H46" i="22" s="1"/>
  <c r="E23" i="22"/>
  <c r="E46" i="22" s="1"/>
  <c r="B23" i="22"/>
  <c r="B46" i="22" s="1"/>
  <c r="A9" i="22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N49" i="21"/>
  <c r="K49" i="21"/>
  <c r="H49" i="21"/>
  <c r="E49" i="21"/>
  <c r="B49" i="21"/>
  <c r="N45" i="21"/>
  <c r="K45" i="21"/>
  <c r="H45" i="21"/>
  <c r="E45" i="21"/>
  <c r="B45" i="21"/>
  <c r="N44" i="21"/>
  <c r="K44" i="21"/>
  <c r="H44" i="21"/>
  <c r="E44" i="21"/>
  <c r="R44" i="21"/>
  <c r="N43" i="21"/>
  <c r="K43" i="21"/>
  <c r="H43" i="21"/>
  <c r="N42" i="21"/>
  <c r="K42" i="21"/>
  <c r="H42" i="21"/>
  <c r="E42" i="21"/>
  <c r="N25" i="21"/>
  <c r="N48" i="21" s="1"/>
  <c r="K25" i="21"/>
  <c r="K48" i="21" s="1"/>
  <c r="H25" i="21"/>
  <c r="H48" i="21" s="1"/>
  <c r="E25" i="21"/>
  <c r="E48" i="21" s="1"/>
  <c r="B25" i="21"/>
  <c r="N24" i="21"/>
  <c r="N47" i="21" s="1"/>
  <c r="K24" i="21"/>
  <c r="K47" i="21" s="1"/>
  <c r="H24" i="21"/>
  <c r="H47" i="21" s="1"/>
  <c r="E24" i="21"/>
  <c r="E47" i="21" s="1"/>
  <c r="B24" i="21"/>
  <c r="N23" i="21"/>
  <c r="N46" i="21" s="1"/>
  <c r="K23" i="21"/>
  <c r="K46" i="21" s="1"/>
  <c r="H23" i="21"/>
  <c r="H46" i="21" s="1"/>
  <c r="E23" i="21"/>
  <c r="E46" i="21" s="1"/>
  <c r="B23" i="21"/>
  <c r="A9" i="2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N48" i="20"/>
  <c r="K48" i="20"/>
  <c r="H48" i="20"/>
  <c r="E48" i="20"/>
  <c r="B48" i="20"/>
  <c r="N44" i="20"/>
  <c r="K44" i="20"/>
  <c r="H44" i="20"/>
  <c r="E44" i="20"/>
  <c r="B44" i="20"/>
  <c r="N43" i="20"/>
  <c r="K43" i="20"/>
  <c r="H43" i="20"/>
  <c r="E43" i="20"/>
  <c r="B43" i="20"/>
  <c r="R43" i="20" s="1"/>
  <c r="N42" i="20"/>
  <c r="K42" i="20"/>
  <c r="H42" i="20"/>
  <c r="E42" i="20"/>
  <c r="B42" i="20"/>
  <c r="R42" i="20" s="1"/>
  <c r="N41" i="20"/>
  <c r="K41" i="20"/>
  <c r="H41" i="20"/>
  <c r="E41" i="20"/>
  <c r="B41" i="20"/>
  <c r="R41" i="20" s="1"/>
  <c r="N25" i="20"/>
  <c r="N47" i="20" s="1"/>
  <c r="K25" i="20"/>
  <c r="K47" i="20" s="1"/>
  <c r="H25" i="20"/>
  <c r="H47" i="20" s="1"/>
  <c r="E25" i="20"/>
  <c r="E47" i="20" s="1"/>
  <c r="B25" i="20"/>
  <c r="B47" i="20" s="1"/>
  <c r="R24" i="20"/>
  <c r="N24" i="20"/>
  <c r="N46" i="20" s="1"/>
  <c r="K24" i="20"/>
  <c r="K46" i="20" s="1"/>
  <c r="H24" i="20"/>
  <c r="H46" i="20" s="1"/>
  <c r="E24" i="20"/>
  <c r="E46" i="20" s="1"/>
  <c r="B24" i="20"/>
  <c r="B46" i="20" s="1"/>
  <c r="R46" i="20" s="1"/>
  <c r="N23" i="20"/>
  <c r="N45" i="20" s="1"/>
  <c r="K23" i="20"/>
  <c r="K45" i="20" s="1"/>
  <c r="H23" i="20"/>
  <c r="H45" i="20" s="1"/>
  <c r="E23" i="20"/>
  <c r="E45" i="20" s="1"/>
  <c r="B23" i="20"/>
  <c r="B45" i="20" s="1"/>
  <c r="A9" i="20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N49" i="19"/>
  <c r="K49" i="19"/>
  <c r="H49" i="19"/>
  <c r="E49" i="19"/>
  <c r="B49" i="19"/>
  <c r="N45" i="19"/>
  <c r="K45" i="19"/>
  <c r="H45" i="19"/>
  <c r="E45" i="19"/>
  <c r="B45" i="19"/>
  <c r="N44" i="19"/>
  <c r="K44" i="19"/>
  <c r="H44" i="19"/>
  <c r="E44" i="19"/>
  <c r="B44" i="19"/>
  <c r="N43" i="19"/>
  <c r="K43" i="19"/>
  <c r="H43" i="19"/>
  <c r="E43" i="19"/>
  <c r="B43" i="19"/>
  <c r="N42" i="19"/>
  <c r="K42" i="19"/>
  <c r="H42" i="19"/>
  <c r="E42" i="19"/>
  <c r="B42" i="19"/>
  <c r="N25" i="19"/>
  <c r="K25" i="19"/>
  <c r="K48" i="19" s="1"/>
  <c r="H25" i="19"/>
  <c r="E25" i="19"/>
  <c r="B25" i="19"/>
  <c r="B48" i="19" s="1"/>
  <c r="N24" i="19"/>
  <c r="N47" i="19" s="1"/>
  <c r="K24" i="19"/>
  <c r="K47" i="19" s="1"/>
  <c r="H24" i="19"/>
  <c r="H47" i="19" s="1"/>
  <c r="E24" i="19"/>
  <c r="B24" i="19"/>
  <c r="B47" i="19" s="1"/>
  <c r="N23" i="19"/>
  <c r="N46" i="19" s="1"/>
  <c r="K23" i="19"/>
  <c r="K46" i="19" s="1"/>
  <c r="H23" i="19"/>
  <c r="E23" i="19"/>
  <c r="E46" i="19" s="1"/>
  <c r="B23" i="19"/>
  <c r="B46" i="19" s="1"/>
  <c r="A9" i="19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7" i="19" s="1"/>
  <c r="A38" i="19" s="1"/>
  <c r="A39" i="19" s="1"/>
  <c r="A40" i="19" s="1"/>
  <c r="A41" i="19" s="1"/>
  <c r="N48" i="18"/>
  <c r="K48" i="18"/>
  <c r="H48" i="18"/>
  <c r="E48" i="18"/>
  <c r="B48" i="18"/>
  <c r="N44" i="18"/>
  <c r="K44" i="18"/>
  <c r="H44" i="18"/>
  <c r="E44" i="18"/>
  <c r="B44" i="18"/>
  <c r="N43" i="18"/>
  <c r="K43" i="18"/>
  <c r="H43" i="18"/>
  <c r="H47" i="18" s="1"/>
  <c r="E43" i="18"/>
  <c r="B43" i="18"/>
  <c r="N42" i="18"/>
  <c r="K42" i="18"/>
  <c r="H42" i="18"/>
  <c r="E42" i="18"/>
  <c r="B42" i="18"/>
  <c r="N41" i="18"/>
  <c r="K41" i="18"/>
  <c r="H41" i="18"/>
  <c r="E41" i="18"/>
  <c r="B41" i="18"/>
  <c r="N25" i="18"/>
  <c r="N47" i="18" s="1"/>
  <c r="K25" i="18"/>
  <c r="K47" i="18" s="1"/>
  <c r="H25" i="18"/>
  <c r="E25" i="18"/>
  <c r="E47" i="18" s="1"/>
  <c r="B25" i="18"/>
  <c r="B47" i="18" s="1"/>
  <c r="N24" i="18"/>
  <c r="K24" i="18"/>
  <c r="H24" i="18"/>
  <c r="H46" i="18" s="1"/>
  <c r="E24" i="18"/>
  <c r="E46" i="18" s="1"/>
  <c r="B24" i="18"/>
  <c r="N23" i="18"/>
  <c r="K23" i="18"/>
  <c r="K45" i="18" s="1"/>
  <c r="H23" i="18"/>
  <c r="E23" i="18"/>
  <c r="E45" i="18" s="1"/>
  <c r="B23" i="18"/>
  <c r="A9" i="18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N49" i="17"/>
  <c r="K49" i="17"/>
  <c r="H49" i="17"/>
  <c r="E49" i="17"/>
  <c r="B49" i="17"/>
  <c r="K48" i="17"/>
  <c r="E47" i="17"/>
  <c r="K46" i="17"/>
  <c r="K50" i="17" s="1"/>
  <c r="N45" i="17"/>
  <c r="K45" i="17"/>
  <c r="H45" i="17"/>
  <c r="E45" i="17"/>
  <c r="B45" i="17"/>
  <c r="N44" i="17"/>
  <c r="K44" i="17"/>
  <c r="H44" i="17"/>
  <c r="E44" i="17"/>
  <c r="B44" i="17"/>
  <c r="R44" i="17" s="1"/>
  <c r="N43" i="17"/>
  <c r="K43" i="17"/>
  <c r="H43" i="17"/>
  <c r="E43" i="17"/>
  <c r="B43" i="17"/>
  <c r="R43" i="17" s="1"/>
  <c r="N42" i="17"/>
  <c r="K42" i="17"/>
  <c r="H42" i="17"/>
  <c r="E42" i="17"/>
  <c r="B42" i="17"/>
  <c r="R42" i="17" s="1"/>
  <c r="N25" i="17"/>
  <c r="N48" i="17" s="1"/>
  <c r="K25" i="17"/>
  <c r="H25" i="17"/>
  <c r="H48" i="17" s="1"/>
  <c r="E25" i="17"/>
  <c r="E48" i="17" s="1"/>
  <c r="B25" i="17"/>
  <c r="B48" i="17" s="1"/>
  <c r="N24" i="17"/>
  <c r="N47" i="17" s="1"/>
  <c r="K24" i="17"/>
  <c r="K47" i="17" s="1"/>
  <c r="H24" i="17"/>
  <c r="H47" i="17" s="1"/>
  <c r="E24" i="17"/>
  <c r="R24" i="17" s="1"/>
  <c r="B24" i="17"/>
  <c r="B47" i="17" s="1"/>
  <c r="N23" i="17"/>
  <c r="N46" i="17" s="1"/>
  <c r="K23" i="17"/>
  <c r="H23" i="17"/>
  <c r="H46" i="17" s="1"/>
  <c r="E23" i="17"/>
  <c r="E46" i="17" s="1"/>
  <c r="B23" i="17"/>
  <c r="B46" i="17" s="1"/>
  <c r="A9" i="17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N47" i="16"/>
  <c r="K47" i="16"/>
  <c r="H47" i="16"/>
  <c r="E47" i="16"/>
  <c r="B47" i="16"/>
  <c r="N43" i="16"/>
  <c r="K43" i="16"/>
  <c r="H43" i="16"/>
  <c r="E43" i="16"/>
  <c r="B43" i="16"/>
  <c r="N42" i="16"/>
  <c r="K42" i="16"/>
  <c r="H42" i="16"/>
  <c r="E42" i="16"/>
  <c r="B42" i="16"/>
  <c r="N41" i="16"/>
  <c r="K41" i="16"/>
  <c r="H41" i="16"/>
  <c r="E41" i="16"/>
  <c r="B41" i="16"/>
  <c r="N40" i="16"/>
  <c r="K40" i="16"/>
  <c r="H40" i="16"/>
  <c r="E40" i="16"/>
  <c r="B40" i="16"/>
  <c r="N25" i="16"/>
  <c r="K25" i="16"/>
  <c r="K46" i="16" s="1"/>
  <c r="H25" i="16"/>
  <c r="E25" i="16"/>
  <c r="E46" i="16" s="1"/>
  <c r="B25" i="16"/>
  <c r="N24" i="16"/>
  <c r="K24" i="16"/>
  <c r="H24" i="16"/>
  <c r="H45" i="16" s="1"/>
  <c r="E24" i="16"/>
  <c r="B24" i="16"/>
  <c r="N23" i="16"/>
  <c r="K23" i="16"/>
  <c r="K44" i="16" s="1"/>
  <c r="H23" i="16"/>
  <c r="E23" i="16"/>
  <c r="B23" i="16"/>
  <c r="A9" i="16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H45" i="13"/>
  <c r="B45" i="13"/>
  <c r="N45" i="12"/>
  <c r="K45" i="12"/>
  <c r="H45" i="12"/>
  <c r="E45" i="12"/>
  <c r="B45" i="12"/>
  <c r="N6" i="11"/>
  <c r="N45" i="11" s="1"/>
  <c r="K6" i="11"/>
  <c r="K45" i="11" s="1"/>
  <c r="H6" i="11"/>
  <c r="H45" i="11" s="1"/>
  <c r="E6" i="11"/>
  <c r="E45" i="11" s="1"/>
  <c r="B6" i="11"/>
  <c r="B45" i="11" s="1"/>
  <c r="N5" i="11"/>
  <c r="K5" i="11"/>
  <c r="H5" i="11"/>
  <c r="E5" i="11"/>
  <c r="N4" i="11"/>
  <c r="K4" i="11"/>
  <c r="H4" i="11"/>
  <c r="E4" i="11"/>
  <c r="N6" i="10"/>
  <c r="N45" i="10" s="1"/>
  <c r="K6" i="10"/>
  <c r="K45" i="10" s="1"/>
  <c r="H6" i="10"/>
  <c r="E6" i="10"/>
  <c r="B6" i="10"/>
  <c r="N5" i="10"/>
  <c r="K5" i="10"/>
  <c r="H5" i="10"/>
  <c r="E5" i="10"/>
  <c r="N4" i="10"/>
  <c r="K4" i="10"/>
  <c r="H4" i="10"/>
  <c r="E4" i="10"/>
  <c r="N6" i="9"/>
  <c r="N45" i="9" s="1"/>
  <c r="K6" i="9"/>
  <c r="K45" i="9" s="1"/>
  <c r="H6" i="9"/>
  <c r="H45" i="9" s="1"/>
  <c r="E6" i="9"/>
  <c r="E45" i="9" s="1"/>
  <c r="B6" i="9"/>
  <c r="B45" i="9" s="1"/>
  <c r="N5" i="9"/>
  <c r="K5" i="9"/>
  <c r="H5" i="9"/>
  <c r="E5" i="9"/>
  <c r="B5" i="9"/>
  <c r="N4" i="9"/>
  <c r="K4" i="9"/>
  <c r="H4" i="9"/>
  <c r="E4" i="9"/>
  <c r="B4" i="9"/>
  <c r="C3" i="9"/>
  <c r="C2" i="9"/>
  <c r="N6" i="8"/>
  <c r="N45" i="8" s="1"/>
  <c r="K6" i="8"/>
  <c r="K45" i="8" s="1"/>
  <c r="H6" i="8"/>
  <c r="H45" i="8" s="1"/>
  <c r="E6" i="8"/>
  <c r="E45" i="8" s="1"/>
  <c r="B6" i="8"/>
  <c r="B45" i="8" s="1"/>
  <c r="N5" i="8"/>
  <c r="K5" i="8"/>
  <c r="H5" i="8"/>
  <c r="E5" i="8"/>
  <c r="N4" i="8"/>
  <c r="K4" i="8"/>
  <c r="H4" i="8"/>
  <c r="E4" i="8"/>
  <c r="N6" i="7"/>
  <c r="K6" i="7"/>
  <c r="K45" i="7" s="1"/>
  <c r="H6" i="7"/>
  <c r="H45" i="7" s="1"/>
  <c r="E6" i="7"/>
  <c r="E45" i="7" s="1"/>
  <c r="B6" i="7"/>
  <c r="B45" i="7" s="1"/>
  <c r="N5" i="7"/>
  <c r="K5" i="7"/>
  <c r="H5" i="7"/>
  <c r="E5" i="7"/>
  <c r="B5" i="7"/>
  <c r="N4" i="7"/>
  <c r="K4" i="7"/>
  <c r="H4" i="7"/>
  <c r="E4" i="7"/>
  <c r="B4" i="7"/>
  <c r="N6" i="6"/>
  <c r="K6" i="6"/>
  <c r="K45" i="6" s="1"/>
  <c r="H6" i="6"/>
  <c r="H45" i="6" s="1"/>
  <c r="E6" i="6"/>
  <c r="E45" i="6" s="1"/>
  <c r="N5" i="6"/>
  <c r="K5" i="6"/>
  <c r="H5" i="6"/>
  <c r="E5" i="6"/>
  <c r="N4" i="6"/>
  <c r="K4" i="6"/>
  <c r="H4" i="6"/>
  <c r="E4" i="6"/>
  <c r="N45" i="2"/>
  <c r="H45" i="2"/>
  <c r="B45" i="2"/>
  <c r="K52" i="13"/>
  <c r="N49" i="13"/>
  <c r="K49" i="13"/>
  <c r="H49" i="13"/>
  <c r="E49" i="13"/>
  <c r="B49" i="13"/>
  <c r="N45" i="13"/>
  <c r="K45" i="13"/>
  <c r="E45" i="13"/>
  <c r="N44" i="13"/>
  <c r="K44" i="13"/>
  <c r="H44" i="13"/>
  <c r="E44" i="13"/>
  <c r="B44" i="13"/>
  <c r="N43" i="13"/>
  <c r="K43" i="13"/>
  <c r="H43" i="13"/>
  <c r="E43" i="13"/>
  <c r="B43" i="13"/>
  <c r="N42" i="13"/>
  <c r="K42" i="13"/>
  <c r="H42" i="13"/>
  <c r="E42" i="13"/>
  <c r="B42" i="13"/>
  <c r="N25" i="13"/>
  <c r="K25" i="13"/>
  <c r="K48" i="13" s="1"/>
  <c r="H25" i="13"/>
  <c r="E25" i="13"/>
  <c r="B25" i="13"/>
  <c r="N24" i="13"/>
  <c r="K24" i="13"/>
  <c r="H24" i="13"/>
  <c r="H47" i="13" s="1"/>
  <c r="E24" i="13"/>
  <c r="B24" i="13"/>
  <c r="N23" i="13"/>
  <c r="K23" i="13"/>
  <c r="H23" i="13"/>
  <c r="E23" i="13"/>
  <c r="B23" i="13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K52" i="12"/>
  <c r="N49" i="12"/>
  <c r="K49" i="12"/>
  <c r="H49" i="12"/>
  <c r="E49" i="12"/>
  <c r="B49" i="12"/>
  <c r="N44" i="12"/>
  <c r="K44" i="12"/>
  <c r="H44" i="12"/>
  <c r="E44" i="12"/>
  <c r="B44" i="12"/>
  <c r="N43" i="12"/>
  <c r="K43" i="12"/>
  <c r="H43" i="12"/>
  <c r="E43" i="12"/>
  <c r="B43" i="12"/>
  <c r="N42" i="12"/>
  <c r="K42" i="12"/>
  <c r="H42" i="12"/>
  <c r="E42" i="12"/>
  <c r="B42" i="12"/>
  <c r="N25" i="12"/>
  <c r="K25" i="12"/>
  <c r="H25" i="12"/>
  <c r="E25" i="12"/>
  <c r="B25" i="12"/>
  <c r="N24" i="12"/>
  <c r="K24" i="12"/>
  <c r="H24" i="12"/>
  <c r="E24" i="12"/>
  <c r="B24" i="12"/>
  <c r="N23" i="12"/>
  <c r="K23" i="12"/>
  <c r="H23" i="12"/>
  <c r="E23" i="12"/>
  <c r="B23" i="12"/>
  <c r="A9" i="12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N49" i="11"/>
  <c r="K49" i="11"/>
  <c r="H49" i="11"/>
  <c r="E49" i="11"/>
  <c r="B49" i="11"/>
  <c r="N44" i="11"/>
  <c r="K44" i="11"/>
  <c r="H44" i="11"/>
  <c r="E44" i="11"/>
  <c r="B44" i="11"/>
  <c r="N43" i="11"/>
  <c r="K43" i="11"/>
  <c r="H43" i="11"/>
  <c r="E43" i="11"/>
  <c r="B43" i="11"/>
  <c r="N42" i="11"/>
  <c r="K42" i="11"/>
  <c r="H42" i="11"/>
  <c r="E42" i="11"/>
  <c r="B42" i="11"/>
  <c r="N25" i="11"/>
  <c r="K25" i="11"/>
  <c r="H25" i="11"/>
  <c r="E25" i="11"/>
  <c r="B25" i="11"/>
  <c r="N24" i="11"/>
  <c r="N47" i="11" s="1"/>
  <c r="K24" i="11"/>
  <c r="H24" i="11"/>
  <c r="E24" i="11"/>
  <c r="B24" i="11"/>
  <c r="N23" i="11"/>
  <c r="K23" i="11"/>
  <c r="H23" i="11"/>
  <c r="E23" i="11"/>
  <c r="B23" i="11"/>
  <c r="A9" i="1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N49" i="10"/>
  <c r="K49" i="10"/>
  <c r="H49" i="10"/>
  <c r="E49" i="10"/>
  <c r="B49" i="10"/>
  <c r="H45" i="10"/>
  <c r="E45" i="10"/>
  <c r="B45" i="10"/>
  <c r="N44" i="10"/>
  <c r="K44" i="10"/>
  <c r="H44" i="10"/>
  <c r="E44" i="10"/>
  <c r="B44" i="10"/>
  <c r="N43" i="10"/>
  <c r="K43" i="10"/>
  <c r="H43" i="10"/>
  <c r="E43" i="10"/>
  <c r="B43" i="10"/>
  <c r="N42" i="10"/>
  <c r="K42" i="10"/>
  <c r="H42" i="10"/>
  <c r="E42" i="10"/>
  <c r="B42" i="10"/>
  <c r="N25" i="10"/>
  <c r="K25" i="10"/>
  <c r="H25" i="10"/>
  <c r="E25" i="10"/>
  <c r="B25" i="10"/>
  <c r="N24" i="10"/>
  <c r="K24" i="10"/>
  <c r="H24" i="10"/>
  <c r="E24" i="10"/>
  <c r="B24" i="10"/>
  <c r="N23" i="10"/>
  <c r="K23" i="10"/>
  <c r="H23" i="10"/>
  <c r="E23" i="10"/>
  <c r="B23" i="10"/>
  <c r="A9" i="10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N49" i="9"/>
  <c r="K49" i="9"/>
  <c r="H49" i="9"/>
  <c r="E49" i="9"/>
  <c r="B49" i="9"/>
  <c r="N44" i="9"/>
  <c r="K44" i="9"/>
  <c r="H44" i="9"/>
  <c r="E44" i="9"/>
  <c r="B44" i="9"/>
  <c r="N43" i="9"/>
  <c r="K43" i="9"/>
  <c r="H43" i="9"/>
  <c r="E43" i="9"/>
  <c r="B43" i="9"/>
  <c r="N42" i="9"/>
  <c r="K42" i="9"/>
  <c r="H42" i="9"/>
  <c r="E42" i="9"/>
  <c r="B42" i="9"/>
  <c r="N25" i="9"/>
  <c r="K25" i="9"/>
  <c r="H25" i="9"/>
  <c r="E25" i="9"/>
  <c r="B25" i="9"/>
  <c r="N24" i="9"/>
  <c r="K24" i="9"/>
  <c r="K47" i="9" s="1"/>
  <c r="H24" i="9"/>
  <c r="E24" i="9"/>
  <c r="B24" i="9"/>
  <c r="N23" i="9"/>
  <c r="K23" i="9"/>
  <c r="H23" i="9"/>
  <c r="E23" i="9"/>
  <c r="B23" i="9"/>
  <c r="B46" i="9" s="1"/>
  <c r="A9" i="9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N49" i="8"/>
  <c r="K49" i="8"/>
  <c r="H49" i="8"/>
  <c r="E49" i="8"/>
  <c r="B49" i="8"/>
  <c r="N44" i="8"/>
  <c r="K44" i="8"/>
  <c r="H44" i="8"/>
  <c r="E44" i="8"/>
  <c r="B44" i="8"/>
  <c r="N43" i="8"/>
  <c r="K43" i="8"/>
  <c r="H43" i="8"/>
  <c r="E43" i="8"/>
  <c r="B43" i="8"/>
  <c r="N42" i="8"/>
  <c r="K42" i="8"/>
  <c r="H42" i="8"/>
  <c r="E42" i="8"/>
  <c r="B42" i="8"/>
  <c r="N25" i="8"/>
  <c r="K25" i="8"/>
  <c r="K48" i="8" s="1"/>
  <c r="H25" i="8"/>
  <c r="E25" i="8"/>
  <c r="B25" i="8"/>
  <c r="N24" i="8"/>
  <c r="K24" i="8"/>
  <c r="K47" i="8" s="1"/>
  <c r="H24" i="8"/>
  <c r="E24" i="8"/>
  <c r="B24" i="8"/>
  <c r="N23" i="8"/>
  <c r="K23" i="8"/>
  <c r="H23" i="8"/>
  <c r="E23" i="8"/>
  <c r="A9" i="8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N49" i="7"/>
  <c r="K49" i="7"/>
  <c r="H49" i="7"/>
  <c r="E49" i="7"/>
  <c r="B49" i="7"/>
  <c r="N45" i="7"/>
  <c r="N44" i="7"/>
  <c r="K44" i="7"/>
  <c r="H44" i="7"/>
  <c r="E44" i="7"/>
  <c r="B44" i="7"/>
  <c r="N43" i="7"/>
  <c r="K43" i="7"/>
  <c r="H43" i="7"/>
  <c r="E43" i="7"/>
  <c r="B43" i="7"/>
  <c r="N42" i="7"/>
  <c r="K42" i="7"/>
  <c r="H42" i="7"/>
  <c r="E42" i="7"/>
  <c r="B42" i="7"/>
  <c r="N25" i="7"/>
  <c r="K25" i="7"/>
  <c r="K48" i="7" s="1"/>
  <c r="H25" i="7"/>
  <c r="E25" i="7"/>
  <c r="B25" i="7"/>
  <c r="N24" i="7"/>
  <c r="K24" i="7"/>
  <c r="H24" i="7"/>
  <c r="H47" i="7" s="1"/>
  <c r="E24" i="7"/>
  <c r="B24" i="7"/>
  <c r="N23" i="7"/>
  <c r="K23" i="7"/>
  <c r="H23" i="7"/>
  <c r="E23" i="7"/>
  <c r="B23" i="7"/>
  <c r="A9" i="7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N49" i="6"/>
  <c r="K49" i="6"/>
  <c r="H49" i="6"/>
  <c r="E49" i="6"/>
  <c r="B49" i="6"/>
  <c r="N45" i="6"/>
  <c r="B45" i="6"/>
  <c r="N44" i="6"/>
  <c r="K44" i="6"/>
  <c r="H44" i="6"/>
  <c r="E44" i="6"/>
  <c r="B44" i="6"/>
  <c r="N43" i="6"/>
  <c r="K43" i="6"/>
  <c r="H43" i="6"/>
  <c r="E43" i="6"/>
  <c r="B43" i="6"/>
  <c r="N42" i="6"/>
  <c r="K42" i="6"/>
  <c r="H42" i="6"/>
  <c r="E42" i="6"/>
  <c r="B42" i="6"/>
  <c r="N25" i="6"/>
  <c r="K25" i="6"/>
  <c r="H25" i="6"/>
  <c r="E25" i="6"/>
  <c r="B25" i="6"/>
  <c r="N24" i="6"/>
  <c r="K24" i="6"/>
  <c r="H24" i="6"/>
  <c r="E24" i="6"/>
  <c r="B24" i="6"/>
  <c r="N23" i="6"/>
  <c r="K23" i="6"/>
  <c r="H23" i="6"/>
  <c r="E23" i="6"/>
  <c r="B23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N49" i="2"/>
  <c r="K49" i="2"/>
  <c r="H49" i="2"/>
  <c r="E49" i="2"/>
  <c r="B49" i="2"/>
  <c r="K45" i="2"/>
  <c r="E45" i="2"/>
  <c r="N44" i="2"/>
  <c r="K44" i="2"/>
  <c r="H44" i="2"/>
  <c r="E44" i="2"/>
  <c r="B44" i="2"/>
  <c r="N43" i="2"/>
  <c r="K43" i="2"/>
  <c r="H43" i="2"/>
  <c r="B43" i="2"/>
  <c r="N42" i="2"/>
  <c r="K42" i="2"/>
  <c r="H42" i="2"/>
  <c r="E42" i="2"/>
  <c r="B42" i="2"/>
  <c r="N25" i="2"/>
  <c r="K25" i="2"/>
  <c r="H25" i="2"/>
  <c r="E25" i="2"/>
  <c r="B25" i="2"/>
  <c r="N24" i="2"/>
  <c r="K24" i="2"/>
  <c r="H24" i="2"/>
  <c r="E24" i="2"/>
  <c r="B24" i="2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R24" i="25" l="1"/>
  <c r="E45" i="25"/>
  <c r="K46" i="25"/>
  <c r="N46" i="25"/>
  <c r="R43" i="25"/>
  <c r="B45" i="25"/>
  <c r="B46" i="25"/>
  <c r="N45" i="25"/>
  <c r="R23" i="21"/>
  <c r="K48" i="2"/>
  <c r="K45" i="25"/>
  <c r="K50" i="25" s="1"/>
  <c r="H46" i="25"/>
  <c r="E47" i="25"/>
  <c r="R41" i="25"/>
  <c r="H45" i="25"/>
  <c r="H49" i="25" s="1"/>
  <c r="B47" i="25"/>
  <c r="N47" i="25"/>
  <c r="N50" i="25" s="1"/>
  <c r="R42" i="25"/>
  <c r="R23" i="23"/>
  <c r="R25" i="23"/>
  <c r="R44" i="19"/>
  <c r="H46" i="19"/>
  <c r="E47" i="19"/>
  <c r="E48" i="19"/>
  <c r="E51" i="19" s="1"/>
  <c r="H48" i="19"/>
  <c r="H44" i="16"/>
  <c r="E45" i="16"/>
  <c r="B46" i="16"/>
  <c r="N46" i="16"/>
  <c r="N49" i="16" s="1"/>
  <c r="R40" i="16"/>
  <c r="R43" i="26"/>
  <c r="E46" i="26"/>
  <c r="R46" i="26" s="1"/>
  <c r="B52" i="26" s="1"/>
  <c r="R44" i="26"/>
  <c r="R48" i="26"/>
  <c r="R42" i="26"/>
  <c r="K46" i="24"/>
  <c r="H47" i="24"/>
  <c r="E48" i="24"/>
  <c r="E51" i="24" s="1"/>
  <c r="R42" i="24"/>
  <c r="R23" i="24"/>
  <c r="N46" i="24"/>
  <c r="K47" i="24"/>
  <c r="R47" i="24" s="1"/>
  <c r="H48" i="24"/>
  <c r="H51" i="24" s="1"/>
  <c r="R43" i="24"/>
  <c r="R44" i="24"/>
  <c r="R47" i="22"/>
  <c r="H48" i="22"/>
  <c r="R43" i="22"/>
  <c r="R24" i="22"/>
  <c r="K48" i="22"/>
  <c r="R44" i="22"/>
  <c r="B47" i="21"/>
  <c r="R25" i="21"/>
  <c r="R42" i="21"/>
  <c r="R43" i="21"/>
  <c r="R47" i="19"/>
  <c r="H52" i="19" s="1"/>
  <c r="N48" i="19"/>
  <c r="R42" i="19"/>
  <c r="R43" i="19"/>
  <c r="R24" i="19"/>
  <c r="B50" i="26"/>
  <c r="B51" i="26"/>
  <c r="E51" i="26"/>
  <c r="N51" i="26"/>
  <c r="N50" i="26"/>
  <c r="H51" i="26"/>
  <c r="H50" i="26"/>
  <c r="K50" i="26"/>
  <c r="K51" i="26"/>
  <c r="E47" i="26"/>
  <c r="E50" i="26" s="1"/>
  <c r="R23" i="26"/>
  <c r="R25" i="26"/>
  <c r="E46" i="25"/>
  <c r="R23" i="25"/>
  <c r="R25" i="25"/>
  <c r="K50" i="24"/>
  <c r="K51" i="24"/>
  <c r="H50" i="24"/>
  <c r="N50" i="24"/>
  <c r="N51" i="24"/>
  <c r="R24" i="24"/>
  <c r="B46" i="24"/>
  <c r="B48" i="24"/>
  <c r="E50" i="23"/>
  <c r="E49" i="23"/>
  <c r="R46" i="23"/>
  <c r="H50" i="23"/>
  <c r="H49" i="23"/>
  <c r="N49" i="23"/>
  <c r="N50" i="23"/>
  <c r="K49" i="23"/>
  <c r="K50" i="23"/>
  <c r="B45" i="23"/>
  <c r="B47" i="23"/>
  <c r="R47" i="23" s="1"/>
  <c r="R24" i="23"/>
  <c r="E51" i="22"/>
  <c r="E50" i="22"/>
  <c r="K52" i="22"/>
  <c r="H52" i="22"/>
  <c r="H50" i="22"/>
  <c r="H51" i="22"/>
  <c r="K50" i="22"/>
  <c r="K51" i="22"/>
  <c r="R48" i="22"/>
  <c r="B50" i="22"/>
  <c r="B51" i="22"/>
  <c r="R46" i="22"/>
  <c r="N51" i="22"/>
  <c r="N50" i="22"/>
  <c r="R23" i="22"/>
  <c r="R25" i="22"/>
  <c r="N51" i="21"/>
  <c r="N50" i="21"/>
  <c r="E51" i="21"/>
  <c r="E50" i="21"/>
  <c r="R47" i="21"/>
  <c r="H51" i="21"/>
  <c r="H50" i="21"/>
  <c r="K50" i="21"/>
  <c r="K51" i="21"/>
  <c r="B46" i="21"/>
  <c r="B48" i="21"/>
  <c r="R48" i="21" s="1"/>
  <c r="R24" i="21"/>
  <c r="K51" i="20"/>
  <c r="H51" i="20"/>
  <c r="H49" i="20"/>
  <c r="H50" i="20"/>
  <c r="K49" i="20"/>
  <c r="K50" i="20"/>
  <c r="R47" i="20"/>
  <c r="E50" i="20"/>
  <c r="E49" i="20"/>
  <c r="B49" i="20"/>
  <c r="Q49" i="20" s="1"/>
  <c r="B50" i="20"/>
  <c r="R45" i="20"/>
  <c r="B51" i="20" s="1"/>
  <c r="Q51" i="20" s="1"/>
  <c r="N49" i="20"/>
  <c r="N50" i="20"/>
  <c r="R23" i="20"/>
  <c r="R25" i="20"/>
  <c r="H51" i="19"/>
  <c r="H50" i="19"/>
  <c r="K50" i="19"/>
  <c r="K51" i="19"/>
  <c r="R48" i="19"/>
  <c r="E50" i="19"/>
  <c r="B51" i="19"/>
  <c r="R46" i="19"/>
  <c r="B52" i="19" s="1"/>
  <c r="B50" i="19"/>
  <c r="N51" i="19"/>
  <c r="N50" i="19"/>
  <c r="R23" i="19"/>
  <c r="R25" i="19"/>
  <c r="K49" i="18"/>
  <c r="B45" i="18"/>
  <c r="B49" i="18" s="1"/>
  <c r="N45" i="18"/>
  <c r="K46" i="18"/>
  <c r="R41" i="18"/>
  <c r="B46" i="18"/>
  <c r="R46" i="18" s="1"/>
  <c r="N46" i="18"/>
  <c r="H45" i="18"/>
  <c r="H49" i="18" s="1"/>
  <c r="R24" i="18"/>
  <c r="R43" i="18"/>
  <c r="R45" i="18"/>
  <c r="N49" i="18"/>
  <c r="N50" i="18"/>
  <c r="E50" i="18"/>
  <c r="E49" i="18"/>
  <c r="H50" i="18"/>
  <c r="R47" i="18"/>
  <c r="R23" i="18"/>
  <c r="R25" i="18"/>
  <c r="R42" i="18"/>
  <c r="K50" i="18"/>
  <c r="B44" i="16"/>
  <c r="B49" i="16" s="1"/>
  <c r="N44" i="16"/>
  <c r="K45" i="16"/>
  <c r="K48" i="16" s="1"/>
  <c r="H46" i="16"/>
  <c r="H48" i="16" s="1"/>
  <c r="R41" i="16"/>
  <c r="E44" i="16"/>
  <c r="E48" i="16" s="1"/>
  <c r="B45" i="16"/>
  <c r="N45" i="16"/>
  <c r="N48" i="16" s="1"/>
  <c r="R42" i="16"/>
  <c r="E51" i="17"/>
  <c r="E50" i="17"/>
  <c r="R47" i="17"/>
  <c r="B50" i="17"/>
  <c r="B51" i="17"/>
  <c r="R46" i="17"/>
  <c r="N51" i="17"/>
  <c r="N50" i="17"/>
  <c r="H51" i="17"/>
  <c r="H50" i="17"/>
  <c r="R48" i="17"/>
  <c r="R23" i="17"/>
  <c r="R25" i="17"/>
  <c r="K51" i="17"/>
  <c r="E49" i="16"/>
  <c r="H49" i="16"/>
  <c r="R23" i="16"/>
  <c r="R25" i="16"/>
  <c r="K49" i="16"/>
  <c r="R24" i="16"/>
  <c r="E48" i="2"/>
  <c r="N48" i="7"/>
  <c r="N50" i="7" s="1"/>
  <c r="E46" i="8"/>
  <c r="N47" i="8"/>
  <c r="H47" i="9"/>
  <c r="K46" i="10"/>
  <c r="E48" i="10"/>
  <c r="N46" i="11"/>
  <c r="H48" i="11"/>
  <c r="R43" i="10"/>
  <c r="H48" i="2"/>
  <c r="H46" i="6"/>
  <c r="H50" i="6" s="1"/>
  <c r="N46" i="7"/>
  <c r="H48" i="7"/>
  <c r="H48" i="8"/>
  <c r="E46" i="10"/>
  <c r="E50" i="10" s="1"/>
  <c r="E47" i="6"/>
  <c r="K47" i="7"/>
  <c r="H46" i="8"/>
  <c r="H48" i="10"/>
  <c r="E47" i="10"/>
  <c r="N47" i="12"/>
  <c r="K46" i="13"/>
  <c r="E48" i="13"/>
  <c r="H47" i="6"/>
  <c r="K46" i="8"/>
  <c r="E48" i="9"/>
  <c r="N47" i="2"/>
  <c r="B47" i="9"/>
  <c r="K48" i="9"/>
  <c r="H47" i="10"/>
  <c r="H50" i="10" s="1"/>
  <c r="N46" i="10"/>
  <c r="N48" i="11"/>
  <c r="N50" i="11" s="1"/>
  <c r="E47" i="8"/>
  <c r="E50" i="8" s="1"/>
  <c r="N48" i="8"/>
  <c r="E47" i="9"/>
  <c r="B48" i="11"/>
  <c r="E47" i="13"/>
  <c r="E50" i="13" s="1"/>
  <c r="N47" i="7"/>
  <c r="E48" i="8"/>
  <c r="K46" i="9"/>
  <c r="N46" i="6"/>
  <c r="N48" i="6"/>
  <c r="K47" i="2"/>
  <c r="K48" i="6"/>
  <c r="B46" i="11"/>
  <c r="R23" i="7"/>
  <c r="B46" i="7"/>
  <c r="H46" i="12"/>
  <c r="K48" i="12"/>
  <c r="H47" i="12"/>
  <c r="B47" i="6"/>
  <c r="R42" i="2"/>
  <c r="K47" i="6"/>
  <c r="N46" i="8"/>
  <c r="N50" i="8" s="1"/>
  <c r="E46" i="9"/>
  <c r="N47" i="9"/>
  <c r="R44" i="9"/>
  <c r="K48" i="10"/>
  <c r="H46" i="11"/>
  <c r="K46" i="12"/>
  <c r="E48" i="12"/>
  <c r="E46" i="13"/>
  <c r="E47" i="2"/>
  <c r="H47" i="2"/>
  <c r="E46" i="6"/>
  <c r="N47" i="6"/>
  <c r="N50" i="6" s="1"/>
  <c r="R44" i="6"/>
  <c r="E46" i="7"/>
  <c r="R24" i="8"/>
  <c r="N48" i="2"/>
  <c r="R25" i="6"/>
  <c r="B48" i="2"/>
  <c r="K46" i="6"/>
  <c r="E48" i="6"/>
  <c r="H46" i="7"/>
  <c r="H50" i="7" s="1"/>
  <c r="R25" i="7"/>
  <c r="H47" i="8"/>
  <c r="N46" i="9"/>
  <c r="H48" i="9"/>
  <c r="R43" i="9"/>
  <c r="B46" i="10"/>
  <c r="K47" i="10"/>
  <c r="B47" i="11"/>
  <c r="B50" i="11" s="1"/>
  <c r="K48" i="11"/>
  <c r="R44" i="2"/>
  <c r="H48" i="6"/>
  <c r="R43" i="6"/>
  <c r="K46" i="7"/>
  <c r="K50" i="7" s="1"/>
  <c r="E48" i="7"/>
  <c r="R23" i="8"/>
  <c r="R42" i="8"/>
  <c r="R47" i="9"/>
  <c r="H52" i="9" s="1"/>
  <c r="R44" i="10"/>
  <c r="H46" i="10"/>
  <c r="H47" i="11"/>
  <c r="R24" i="6"/>
  <c r="R43" i="7"/>
  <c r="R44" i="8"/>
  <c r="B48" i="12"/>
  <c r="K47" i="13"/>
  <c r="K50" i="13" s="1"/>
  <c r="H46" i="13"/>
  <c r="N48" i="13"/>
  <c r="R42" i="13"/>
  <c r="N46" i="12"/>
  <c r="H48" i="12"/>
  <c r="R42" i="12"/>
  <c r="E47" i="12"/>
  <c r="N48" i="12"/>
  <c r="R44" i="12"/>
  <c r="E47" i="11"/>
  <c r="R44" i="11"/>
  <c r="K46" i="11"/>
  <c r="R42" i="11"/>
  <c r="R43" i="2"/>
  <c r="R24" i="2"/>
  <c r="B47" i="2"/>
  <c r="B48" i="6"/>
  <c r="R48" i="6" s="1"/>
  <c r="R23" i="6"/>
  <c r="R42" i="6"/>
  <c r="B47" i="8"/>
  <c r="H46" i="9"/>
  <c r="R24" i="9"/>
  <c r="R24" i="11"/>
  <c r="R23" i="12"/>
  <c r="B46" i="12"/>
  <c r="K47" i="12"/>
  <c r="R24" i="7"/>
  <c r="B47" i="7"/>
  <c r="R24" i="10"/>
  <c r="B46" i="6"/>
  <c r="R25" i="2"/>
  <c r="K50" i="8"/>
  <c r="K51" i="9"/>
  <c r="K50" i="9"/>
  <c r="B47" i="10"/>
  <c r="N47" i="10"/>
  <c r="E47" i="7"/>
  <c r="R44" i="7"/>
  <c r="B48" i="7"/>
  <c r="R43" i="8"/>
  <c r="R43" i="11"/>
  <c r="R43" i="12"/>
  <c r="R42" i="7"/>
  <c r="R25" i="8"/>
  <c r="R25" i="9"/>
  <c r="R25" i="10"/>
  <c r="B48" i="13"/>
  <c r="R25" i="13"/>
  <c r="B46" i="8"/>
  <c r="B48" i="8"/>
  <c r="R48" i="8" s="1"/>
  <c r="B48" i="9"/>
  <c r="N48" i="9"/>
  <c r="B48" i="10"/>
  <c r="N48" i="10"/>
  <c r="N51" i="10"/>
  <c r="E46" i="12"/>
  <c r="R24" i="12"/>
  <c r="B47" i="12"/>
  <c r="B46" i="13"/>
  <c r="R23" i="13"/>
  <c r="N46" i="13"/>
  <c r="H48" i="13"/>
  <c r="R43" i="13"/>
  <c r="R23" i="9"/>
  <c r="R42" i="9"/>
  <c r="R23" i="10"/>
  <c r="R42" i="10"/>
  <c r="E46" i="11"/>
  <c r="R46" i="11" s="1"/>
  <c r="R23" i="11"/>
  <c r="K47" i="11"/>
  <c r="E48" i="11"/>
  <c r="R25" i="11"/>
  <c r="R25" i="12"/>
  <c r="B47" i="13"/>
  <c r="R24" i="13"/>
  <c r="N47" i="13"/>
  <c r="R44" i="13"/>
  <c r="R47" i="25" l="1"/>
  <c r="K49" i="25"/>
  <c r="R45" i="25"/>
  <c r="E50" i="25"/>
  <c r="B50" i="25"/>
  <c r="Q50" i="25" s="1"/>
  <c r="B49" i="25"/>
  <c r="H50" i="25"/>
  <c r="N49" i="25"/>
  <c r="R46" i="25"/>
  <c r="R44" i="16"/>
  <c r="E49" i="25"/>
  <c r="Q49" i="25" s="1"/>
  <c r="Q50" i="19"/>
  <c r="K52" i="19"/>
  <c r="R46" i="16"/>
  <c r="B50" i="16" s="1"/>
  <c r="R45" i="16"/>
  <c r="H50" i="16" s="1"/>
  <c r="R47" i="26"/>
  <c r="K52" i="24"/>
  <c r="H52" i="24"/>
  <c r="E50" i="24"/>
  <c r="R48" i="24"/>
  <c r="Q52" i="19"/>
  <c r="H52" i="26"/>
  <c r="Q52" i="26" s="1"/>
  <c r="K52" i="26"/>
  <c r="Q51" i="26"/>
  <c r="Q50" i="26"/>
  <c r="K51" i="25"/>
  <c r="H51" i="25"/>
  <c r="B51" i="24"/>
  <c r="Q51" i="24" s="1"/>
  <c r="R46" i="24"/>
  <c r="B52" i="24" s="1"/>
  <c r="Q52" i="24" s="1"/>
  <c r="B50" i="24"/>
  <c r="K51" i="23"/>
  <c r="H51" i="23"/>
  <c r="B50" i="23"/>
  <c r="Q50" i="23" s="1"/>
  <c r="R45" i="23"/>
  <c r="B51" i="23" s="1"/>
  <c r="Q51" i="23" s="1"/>
  <c r="B49" i="23"/>
  <c r="Q49" i="23" s="1"/>
  <c r="B52" i="22"/>
  <c r="Q52" i="22" s="1"/>
  <c r="Q51" i="22"/>
  <c r="Q50" i="22"/>
  <c r="B51" i="21"/>
  <c r="Q51" i="21" s="1"/>
  <c r="R46" i="21"/>
  <c r="B52" i="21" s="1"/>
  <c r="B50" i="21"/>
  <c r="Q50" i="21" s="1"/>
  <c r="K52" i="21"/>
  <c r="H52" i="21"/>
  <c r="Q50" i="20"/>
  <c r="Q51" i="19"/>
  <c r="B50" i="18"/>
  <c r="Q50" i="18" s="1"/>
  <c r="B51" i="18"/>
  <c r="Q51" i="18" s="1"/>
  <c r="K51" i="18"/>
  <c r="H51" i="18"/>
  <c r="Q49" i="18"/>
  <c r="B48" i="16"/>
  <c r="K52" i="17"/>
  <c r="H52" i="17"/>
  <c r="B52" i="17"/>
  <c r="Q52" i="17" s="1"/>
  <c r="Q50" i="17"/>
  <c r="Q51" i="17"/>
  <c r="Q48" i="16"/>
  <c r="Q49" i="16"/>
  <c r="R47" i="8"/>
  <c r="E50" i="9"/>
  <c r="R48" i="7"/>
  <c r="K52" i="9"/>
  <c r="K50" i="10"/>
  <c r="R47" i="6"/>
  <c r="K50" i="11"/>
  <c r="H50" i="8"/>
  <c r="H50" i="11"/>
  <c r="R46" i="10"/>
  <c r="K50" i="6"/>
  <c r="H50" i="13"/>
  <c r="H50" i="12"/>
  <c r="R46" i="7"/>
  <c r="E51" i="9"/>
  <c r="K50" i="12"/>
  <c r="R48" i="11"/>
  <c r="B52" i="11" s="1"/>
  <c r="R48" i="12"/>
  <c r="N50" i="12"/>
  <c r="E50" i="6"/>
  <c r="N51" i="9"/>
  <c r="E50" i="7"/>
  <c r="R47" i="2"/>
  <c r="H52" i="2" s="1"/>
  <c r="R47" i="11"/>
  <c r="N50" i="10"/>
  <c r="R48" i="2"/>
  <c r="R47" i="12"/>
  <c r="H52" i="12" s="1"/>
  <c r="H51" i="13"/>
  <c r="R47" i="10"/>
  <c r="B50" i="10"/>
  <c r="Q50" i="10" s="1"/>
  <c r="N51" i="13"/>
  <c r="N50" i="13"/>
  <c r="R48" i="9"/>
  <c r="B51" i="9"/>
  <c r="B50" i="9"/>
  <c r="N50" i="9"/>
  <c r="N51" i="12"/>
  <c r="B51" i="11"/>
  <c r="E51" i="12"/>
  <c r="E50" i="12"/>
  <c r="R48" i="10"/>
  <c r="B52" i="10" s="1"/>
  <c r="B51" i="10"/>
  <c r="E51" i="10"/>
  <c r="H51" i="8"/>
  <c r="B51" i="6"/>
  <c r="R46" i="6"/>
  <c r="B52" i="6" s="1"/>
  <c r="B50" i="6"/>
  <c r="R47" i="7"/>
  <c r="B51" i="12"/>
  <c r="R46" i="12"/>
  <c r="B52" i="12" s="1"/>
  <c r="B50" i="12"/>
  <c r="H50" i="9"/>
  <c r="H51" i="9"/>
  <c r="R46" i="9"/>
  <c r="H51" i="12"/>
  <c r="B50" i="7"/>
  <c r="N51" i="6"/>
  <c r="E51" i="7"/>
  <c r="K51" i="11"/>
  <c r="E50" i="11"/>
  <c r="Q50" i="11" s="1"/>
  <c r="E51" i="11"/>
  <c r="K51" i="12"/>
  <c r="H51" i="6"/>
  <c r="N51" i="11"/>
  <c r="K51" i="13"/>
  <c r="E51" i="13"/>
  <c r="R47" i="13"/>
  <c r="H52" i="13" s="1"/>
  <c r="B51" i="13"/>
  <c r="B50" i="13"/>
  <c r="R46" i="13"/>
  <c r="K52" i="11"/>
  <c r="H52" i="11"/>
  <c r="B51" i="8"/>
  <c r="R46" i="8"/>
  <c r="B52" i="8" s="1"/>
  <c r="B50" i="8"/>
  <c r="Q50" i="8" s="1"/>
  <c r="R48" i="13"/>
  <c r="K51" i="7"/>
  <c r="H51" i="11"/>
  <c r="E51" i="6"/>
  <c r="K52" i="8"/>
  <c r="H52" i="8"/>
  <c r="K51" i="10"/>
  <c r="N51" i="8"/>
  <c r="N51" i="7"/>
  <c r="K51" i="6"/>
  <c r="H51" i="10"/>
  <c r="H51" i="7"/>
  <c r="E51" i="8"/>
  <c r="K51" i="8"/>
  <c r="B51" i="7"/>
  <c r="K52" i="6"/>
  <c r="H52" i="6"/>
  <c r="B52" i="7"/>
  <c r="B51" i="25" l="1"/>
  <c r="Q51" i="25" s="1"/>
  <c r="K50" i="16"/>
  <c r="Q50" i="24"/>
  <c r="K52" i="2"/>
  <c r="Q52" i="21"/>
  <c r="Q50" i="16"/>
  <c r="Q50" i="7"/>
  <c r="Q52" i="12"/>
  <c r="Q50" i="6"/>
  <c r="Q52" i="8"/>
  <c r="Q52" i="11"/>
  <c r="B52" i="9"/>
  <c r="Q52" i="9" s="1"/>
  <c r="Q50" i="12"/>
  <c r="B52" i="13"/>
  <c r="Q52" i="13" s="1"/>
  <c r="K52" i="7"/>
  <c r="H52" i="7"/>
  <c r="Q52" i="7" s="1"/>
  <c r="Q51" i="6"/>
  <c r="Q51" i="9"/>
  <c r="Q51" i="13"/>
  <c r="Q51" i="8"/>
  <c r="Q50" i="13"/>
  <c r="H52" i="10"/>
  <c r="Q52" i="10" s="1"/>
  <c r="K52" i="10"/>
  <c r="Q51" i="7"/>
  <c r="Q51" i="12"/>
  <c r="Q52" i="6"/>
  <c r="Q51" i="10"/>
  <c r="Q51" i="11"/>
  <c r="Q50" i="9"/>
  <c r="B46" i="2" l="1"/>
  <c r="B51" i="2" l="1"/>
  <c r="B50" i="2"/>
  <c r="R23" i="2"/>
  <c r="E46" i="2"/>
  <c r="K46" i="2"/>
  <c r="K50" i="2" s="1"/>
  <c r="K51" i="2"/>
  <c r="N46" i="2"/>
  <c r="N50" i="2" s="1"/>
  <c r="H46" i="2"/>
  <c r="H50" i="2" s="1"/>
  <c r="H51" i="2" l="1"/>
  <c r="R46" i="2"/>
  <c r="B52" i="2" s="1"/>
  <c r="Q52" i="2" s="1"/>
  <c r="E50" i="2"/>
  <c r="Q50" i="2" s="1"/>
  <c r="E51" i="2"/>
  <c r="N51" i="2"/>
  <c r="Q51" i="2" l="1"/>
</calcChain>
</file>

<file path=xl/sharedStrings.xml><?xml version="1.0" encoding="utf-8"?>
<sst xmlns="http://schemas.openxmlformats.org/spreadsheetml/2006/main" count="1216" uniqueCount="85">
  <si>
    <t>Time Sheet for:</t>
  </si>
  <si>
    <t>Knowland Construction Services</t>
  </si>
  <si>
    <t>Project Inspector:</t>
  </si>
  <si>
    <t xml:space="preserve">District: </t>
  </si>
  <si>
    <t>Project Name</t>
  </si>
  <si>
    <t>REMARKS</t>
  </si>
  <si>
    <t>DSA A#</t>
  </si>
  <si>
    <t>File #</t>
  </si>
  <si>
    <t>REG</t>
  </si>
  <si>
    <t>OT</t>
  </si>
  <si>
    <t>PRM</t>
  </si>
  <si>
    <t>New Year’s Day</t>
  </si>
  <si>
    <t>Memorial Day</t>
  </si>
  <si>
    <t>Independence Day</t>
  </si>
  <si>
    <t>Labor Day</t>
  </si>
  <si>
    <t>Veterans Day</t>
  </si>
  <si>
    <t>MLK Day</t>
  </si>
  <si>
    <t>Period 1 Regular</t>
  </si>
  <si>
    <t>Total Regular</t>
  </si>
  <si>
    <t>Christmas Day</t>
  </si>
  <si>
    <t>Period 1 OT</t>
  </si>
  <si>
    <t>Total OT</t>
  </si>
  <si>
    <t>Period 1 Premium</t>
  </si>
  <si>
    <t>Total Premium</t>
  </si>
  <si>
    <t>Period 2 Regular</t>
  </si>
  <si>
    <t>Period 2 Overtime</t>
  </si>
  <si>
    <t>Total Overtime</t>
  </si>
  <si>
    <t>Period 2 Premium</t>
  </si>
  <si>
    <t>Month Regular</t>
  </si>
  <si>
    <t>Month Overtime</t>
  </si>
  <si>
    <t>Month Premium</t>
  </si>
  <si>
    <t>Project Total</t>
  </si>
  <si>
    <t>% Reg/Hol</t>
  </si>
  <si>
    <t>Total REG + PRM</t>
  </si>
  <si>
    <t>Grand Total</t>
  </si>
  <si>
    <t>One separate sheet required for each District. Some Districts require special Overtime sheet to be filled out for acceptance.</t>
  </si>
  <si>
    <t>District Rep. Approval Signature:</t>
  </si>
  <si>
    <t>Date:</t>
  </si>
  <si>
    <t>Est. Percentage Complete:</t>
  </si>
  <si>
    <t>Est. Completion Date:</t>
  </si>
  <si>
    <t>Valentine's Day</t>
  </si>
  <si>
    <t>Thanksgiving Day</t>
  </si>
  <si>
    <t>Presidents' Day</t>
  </si>
  <si>
    <t>Daylight Savings Time</t>
  </si>
  <si>
    <t>St. Patrick's Day</t>
  </si>
  <si>
    <t>District Approval Signature:</t>
  </si>
  <si>
    <t>Tax Day</t>
  </si>
  <si>
    <t>Cinco de Mayo</t>
  </si>
  <si>
    <t>Mother's Day</t>
  </si>
  <si>
    <t>Father's Day</t>
  </si>
  <si>
    <t>Juneteenth</t>
  </si>
  <si>
    <t>Indigenous Peoples' Day</t>
  </si>
  <si>
    <t>Halloween</t>
  </si>
  <si>
    <t>Daylight Savings Time Ends</t>
  </si>
  <si>
    <t>Veteran's Day</t>
  </si>
  <si>
    <t>Black Friday</t>
  </si>
  <si>
    <t>Christmas Eve</t>
  </si>
  <si>
    <t>Boxing Day</t>
  </si>
  <si>
    <t>New Years Eve</t>
  </si>
  <si>
    <t>TIME SHEET</t>
  </si>
  <si>
    <t>SUGAR HILL ELEM. SCH.</t>
  </si>
  <si>
    <t>Invoice #001</t>
  </si>
  <si>
    <t>MORENO VALLEY USD</t>
  </si>
  <si>
    <t>SUGAR HILL ELEM</t>
  </si>
  <si>
    <t>33-30</t>
  </si>
  <si>
    <t>Approval Signature:</t>
  </si>
  <si>
    <t>Percentage Complete:</t>
  </si>
  <si>
    <t>George Robinson</t>
  </si>
  <si>
    <t>Invoice #006</t>
  </si>
  <si>
    <t>Moreno Valley USD Sugar Hill Elem.</t>
  </si>
  <si>
    <t>Invoice #007</t>
  </si>
  <si>
    <t>Sugar Hill</t>
  </si>
  <si>
    <t>4th of July</t>
  </si>
  <si>
    <t>GEORGE ROBINSON</t>
  </si>
  <si>
    <t>Invoice #010</t>
  </si>
  <si>
    <t>MORENO VALLEY USD SUGAR HILL ELEM.</t>
  </si>
  <si>
    <t>SUGAR HILL</t>
  </si>
  <si>
    <t>Columbus Day</t>
  </si>
  <si>
    <t>HALLOWEEN</t>
  </si>
  <si>
    <t>Thanksgiving</t>
  </si>
  <si>
    <t>Christmas</t>
  </si>
  <si>
    <t>Cesar Chavez Day</t>
  </si>
  <si>
    <t>Easter</t>
  </si>
  <si>
    <t>New Year's Day</t>
  </si>
  <si>
    <t>New Year's 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</si>
</sst>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-yyyy"/>
    <numFmt numFmtId="165" formatCode="dddd\,\ mm/dd"/>
    <numFmt numFmtId="166" formatCode="0.0"/>
    <numFmt numFmtId="167" formatCode="0.0%"/>
  </numFmts>
  <fonts count="32" x14ac:knownFonts="1">
    <font>
      <sz val="10"/>
      <color rgb="FF000000"/>
      <name val="Arial"/>
    </font>
    <font>
      <sz val="10"/>
      <color theme="1"/>
      <name val="Calibri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i/>
      <sz val="14"/>
      <color theme="1"/>
      <name val="Arial"/>
      <family val="2"/>
    </font>
    <font>
      <b/>
      <i/>
      <sz val="10"/>
      <color theme="1"/>
      <name val="Arial"/>
      <family val="2"/>
    </font>
    <font>
      <sz val="14"/>
      <color theme="1"/>
      <name val="Arial"/>
      <family val="2"/>
    </font>
    <font>
      <b/>
      <sz val="10"/>
      <color rgb="FF0070C0"/>
      <name val="Arial"/>
      <family val="2"/>
    </font>
    <font>
      <b/>
      <i/>
      <sz val="14"/>
      <color rgb="FF0070C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0070C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b/>
      <i/>
      <sz val="11"/>
      <color theme="1"/>
      <name val="Tahoma"/>
      <family val="2"/>
    </font>
    <font>
      <sz val="11"/>
      <name val="Arial"/>
      <family val="2"/>
    </font>
    <font>
      <sz val="11"/>
      <color rgb="FFFF0000"/>
      <name val="Tahoma"/>
      <family val="2"/>
    </font>
    <font>
      <sz val="11"/>
      <color rgb="FFFF0000"/>
      <name val="Arial"/>
      <family val="2"/>
    </font>
    <font>
      <b/>
      <i/>
      <sz val="12"/>
      <color theme="1"/>
      <name val="Tahoma"/>
      <family val="2"/>
    </font>
    <font>
      <sz val="12"/>
      <name val="Tahoma"/>
      <family val="2"/>
    </font>
    <font>
      <b/>
      <i/>
      <sz val="11"/>
      <color rgb="FF002060"/>
      <name val="Tahoma"/>
      <family val="2"/>
    </font>
    <font>
      <b/>
      <sz val="11"/>
      <color theme="4" tint="-0.249977111117893"/>
      <name val="Tahoma"/>
      <family val="2"/>
    </font>
    <font>
      <sz val="11"/>
      <color theme="4" tint="-0.249977111117893"/>
      <name val="Tahoma"/>
      <family val="2"/>
    </font>
    <font>
      <b/>
      <i/>
      <sz val="11"/>
      <color theme="4" tint="-0.249977111117893"/>
      <name val="Tahoma"/>
      <family val="2"/>
    </font>
    <font>
      <i/>
      <sz val="11"/>
      <name val="Tahoma"/>
      <family val="2"/>
    </font>
    <font>
      <b/>
      <sz val="1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rgb="FF6D9EE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theme="4" tint="0.79998168889431442"/>
        <bgColor rgb="FF6D9EE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5">
    <xf numFmtId="0" fontId="0" fillId="0" borderId="0" xfId="0"/>
    <xf numFmtId="0" fontId="1" fillId="0" borderId="0" xfId="0" applyFont="1"/>
    <xf numFmtId="49" fontId="5" fillId="0" borderId="2" xfId="0" applyNumberFormat="1" applyFont="1" applyBorder="1" applyAlignment="1">
      <alignment horizontal="right" vertical="center" shrinkToFit="1"/>
    </xf>
    <xf numFmtId="0" fontId="6" fillId="0" borderId="0" xfId="0" applyFont="1"/>
    <xf numFmtId="49" fontId="5" fillId="0" borderId="8" xfId="0" applyNumberFormat="1" applyFont="1" applyBorder="1" applyAlignment="1">
      <alignment horizontal="right" vertical="center" shrinkToFit="1"/>
    </xf>
    <xf numFmtId="49" fontId="5" fillId="0" borderId="11" xfId="0" applyNumberFormat="1" applyFont="1" applyBorder="1" applyAlignment="1">
      <alignment horizontal="right" vertical="center" shrinkToFit="1"/>
    </xf>
    <xf numFmtId="0" fontId="9" fillId="0" borderId="0" xfId="0" applyFont="1"/>
    <xf numFmtId="0" fontId="10" fillId="0" borderId="22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165" fontId="9" fillId="0" borderId="25" xfId="0" applyNumberFormat="1" applyFont="1" applyBorder="1" applyAlignment="1">
      <alignment shrinkToFit="1"/>
    </xf>
    <xf numFmtId="166" fontId="7" fillId="2" borderId="26" xfId="0" applyNumberFormat="1" applyFont="1" applyFill="1" applyBorder="1" applyAlignment="1">
      <alignment horizontal="center"/>
    </xf>
    <xf numFmtId="166" fontId="11" fillId="2" borderId="27" xfId="0" applyNumberFormat="1" applyFont="1" applyFill="1" applyBorder="1" applyAlignment="1">
      <alignment horizontal="center"/>
    </xf>
    <xf numFmtId="166" fontId="11" fillId="2" borderId="28" xfId="0" applyNumberFormat="1" applyFont="1" applyFill="1" applyBorder="1" applyAlignment="1">
      <alignment horizontal="center"/>
    </xf>
    <xf numFmtId="166" fontId="11" fillId="2" borderId="29" xfId="0" applyNumberFormat="1" applyFont="1" applyFill="1" applyBorder="1" applyAlignment="1">
      <alignment horizontal="center"/>
    </xf>
    <xf numFmtId="165" fontId="9" fillId="3" borderId="8" xfId="0" applyNumberFormat="1" applyFont="1" applyFill="1" applyBorder="1" applyAlignment="1">
      <alignment shrinkToFit="1"/>
    </xf>
    <xf numFmtId="166" fontId="7" fillId="3" borderId="26" xfId="0" applyNumberFormat="1" applyFont="1" applyFill="1" applyBorder="1" applyAlignment="1">
      <alignment horizontal="center"/>
    </xf>
    <xf numFmtId="166" fontId="7" fillId="3" borderId="30" xfId="0" applyNumberFormat="1" applyFont="1" applyFill="1" applyBorder="1" applyAlignment="1">
      <alignment horizontal="center"/>
    </xf>
    <xf numFmtId="166" fontId="7" fillId="3" borderId="31" xfId="0" applyNumberFormat="1" applyFont="1" applyFill="1" applyBorder="1" applyAlignment="1">
      <alignment horizontal="center"/>
    </xf>
    <xf numFmtId="166" fontId="7" fillId="3" borderId="32" xfId="0" applyNumberFormat="1" applyFont="1" applyFill="1" applyBorder="1" applyAlignment="1">
      <alignment horizontal="center"/>
    </xf>
    <xf numFmtId="0" fontId="9" fillId="3" borderId="1" xfId="0" applyFont="1" applyFill="1" applyBorder="1"/>
    <xf numFmtId="165" fontId="9" fillId="0" borderId="8" xfId="0" applyNumberFormat="1" applyFont="1" applyBorder="1" applyAlignment="1">
      <alignment shrinkToFit="1"/>
    </xf>
    <xf numFmtId="166" fontId="7" fillId="0" borderId="30" xfId="0" applyNumberFormat="1" applyFont="1" applyBorder="1" applyAlignment="1">
      <alignment horizontal="center"/>
    </xf>
    <xf numFmtId="166" fontId="7" fillId="0" borderId="31" xfId="0" applyNumberFormat="1" applyFont="1" applyBorder="1" applyAlignment="1">
      <alignment horizontal="center"/>
    </xf>
    <xf numFmtId="166" fontId="7" fillId="0" borderId="32" xfId="0" applyNumberFormat="1" applyFont="1" applyBorder="1" applyAlignment="1">
      <alignment horizontal="center"/>
    </xf>
    <xf numFmtId="14" fontId="9" fillId="0" borderId="0" xfId="0" applyNumberFormat="1" applyFont="1"/>
    <xf numFmtId="165" fontId="9" fillId="0" borderId="35" xfId="0" applyNumberFormat="1" applyFont="1" applyBorder="1" applyAlignment="1">
      <alignment shrinkToFit="1"/>
    </xf>
    <xf numFmtId="0" fontId="10" fillId="0" borderId="0" xfId="0" applyFont="1"/>
    <xf numFmtId="0" fontId="12" fillId="0" borderId="36" xfId="0" applyFont="1" applyBorder="1" applyAlignment="1">
      <alignment horizontal="left" shrinkToFit="1"/>
    </xf>
    <xf numFmtId="166" fontId="10" fillId="0" borderId="25" xfId="0" applyNumberFormat="1" applyFont="1" applyBorder="1" applyAlignment="1">
      <alignment shrinkToFit="1"/>
    </xf>
    <xf numFmtId="166" fontId="2" fillId="0" borderId="37" xfId="0" applyNumberFormat="1" applyFont="1" applyBorder="1" applyAlignment="1">
      <alignment horizontal="center"/>
    </xf>
    <xf numFmtId="0" fontId="13" fillId="0" borderId="0" xfId="0" applyFont="1"/>
    <xf numFmtId="0" fontId="12" fillId="0" borderId="8" xfId="0" applyFont="1" applyBorder="1" applyAlignment="1">
      <alignment horizontal="left" shrinkToFit="1"/>
    </xf>
    <xf numFmtId="166" fontId="10" fillId="0" borderId="8" xfId="0" applyNumberFormat="1" applyFont="1" applyBorder="1" applyAlignment="1">
      <alignment shrinkToFit="1"/>
    </xf>
    <xf numFmtId="166" fontId="2" fillId="0" borderId="31" xfId="0" applyNumberFormat="1" applyFont="1" applyBorder="1" applyAlignment="1">
      <alignment horizontal="center"/>
    </xf>
    <xf numFmtId="0" fontId="12" fillId="0" borderId="39" xfId="0" applyFont="1" applyBorder="1" applyAlignment="1">
      <alignment horizontal="left" shrinkToFit="1"/>
    </xf>
    <xf numFmtId="166" fontId="10" fillId="0" borderId="35" xfId="0" applyNumberFormat="1" applyFont="1" applyBorder="1" applyAlignment="1">
      <alignment shrinkToFit="1"/>
    </xf>
    <xf numFmtId="166" fontId="2" fillId="0" borderId="40" xfId="0" applyNumberFormat="1" applyFont="1" applyBorder="1" applyAlignment="1">
      <alignment horizontal="center"/>
    </xf>
    <xf numFmtId="0" fontId="14" fillId="0" borderId="0" xfId="0" applyFont="1"/>
    <xf numFmtId="0" fontId="12" fillId="0" borderId="13" xfId="0" applyFont="1" applyBorder="1" applyAlignment="1">
      <alignment horizontal="left" shrinkToFit="1"/>
    </xf>
    <xf numFmtId="166" fontId="2" fillId="0" borderId="20" xfId="0" applyNumberFormat="1" applyFont="1" applyBorder="1" applyAlignment="1">
      <alignment horizontal="center"/>
    </xf>
    <xf numFmtId="0" fontId="12" fillId="0" borderId="33" xfId="0" applyFont="1" applyBorder="1" applyAlignment="1">
      <alignment horizontal="left" shrinkToFit="1"/>
    </xf>
    <xf numFmtId="166" fontId="2" fillId="0" borderId="34" xfId="0" applyNumberFormat="1" applyFont="1" applyBorder="1" applyAlignment="1">
      <alignment horizontal="center"/>
    </xf>
    <xf numFmtId="0" fontId="12" fillId="0" borderId="15" xfId="0" applyFont="1" applyBorder="1" applyAlignment="1">
      <alignment horizontal="left" shrinkToFit="1"/>
    </xf>
    <xf numFmtId="166" fontId="2" fillId="0" borderId="19" xfId="0" applyNumberFormat="1" applyFont="1" applyBorder="1" applyAlignment="1">
      <alignment horizontal="center"/>
    </xf>
    <xf numFmtId="0" fontId="12" fillId="0" borderId="25" xfId="0" applyFont="1" applyBorder="1" applyAlignment="1">
      <alignment horizontal="left" shrinkToFit="1"/>
    </xf>
    <xf numFmtId="0" fontId="12" fillId="0" borderId="35" xfId="0" applyFont="1" applyBorder="1" applyAlignment="1">
      <alignment horizontal="left" shrinkToFit="1"/>
    </xf>
    <xf numFmtId="0" fontId="12" fillId="4" borderId="46" xfId="0" applyFont="1" applyFill="1" applyBorder="1" applyAlignment="1">
      <alignment horizontal="left" shrinkToFit="1"/>
    </xf>
    <xf numFmtId="0" fontId="12" fillId="0" borderId="47" xfId="0" applyFont="1" applyBorder="1" applyAlignment="1">
      <alignment shrinkToFit="1"/>
    </xf>
    <xf numFmtId="0" fontId="16" fillId="0" borderId="0" xfId="0" applyFont="1" applyAlignment="1">
      <alignment horizontal="right"/>
    </xf>
    <xf numFmtId="0" fontId="16" fillId="0" borderId="0" xfId="0" applyFont="1"/>
    <xf numFmtId="0" fontId="16" fillId="0" borderId="0" xfId="0" applyFont="1" applyAlignment="1">
      <alignment shrinkToFit="1"/>
    </xf>
    <xf numFmtId="0" fontId="14" fillId="0" borderId="0" xfId="0" applyFont="1" applyAlignment="1">
      <alignment horizontal="center"/>
    </xf>
    <xf numFmtId="166" fontId="7" fillId="2" borderId="30" xfId="0" applyNumberFormat="1" applyFont="1" applyFill="1" applyBorder="1" applyAlignment="1">
      <alignment horizontal="center"/>
    </xf>
    <xf numFmtId="166" fontId="7" fillId="2" borderId="31" xfId="0" applyNumberFormat="1" applyFont="1" applyFill="1" applyBorder="1" applyAlignment="1">
      <alignment horizontal="center"/>
    </xf>
    <xf numFmtId="166" fontId="7" fillId="2" borderId="32" xfId="0" applyNumberFormat="1" applyFont="1" applyFill="1" applyBorder="1" applyAlignment="1">
      <alignment horizontal="center"/>
    </xf>
    <xf numFmtId="165" fontId="9" fillId="2" borderId="8" xfId="0" applyNumberFormat="1" applyFont="1" applyFill="1" applyBorder="1" applyAlignment="1">
      <alignment shrinkToFit="1"/>
    </xf>
    <xf numFmtId="165" fontId="9" fillId="5" borderId="8" xfId="0" applyNumberFormat="1" applyFont="1" applyFill="1" applyBorder="1" applyAlignment="1">
      <alignment shrinkToFit="1"/>
    </xf>
    <xf numFmtId="166" fontId="7" fillId="5" borderId="50" xfId="0" applyNumberFormat="1" applyFont="1" applyFill="1" applyBorder="1" applyAlignment="1">
      <alignment horizontal="center"/>
    </xf>
    <xf numFmtId="166" fontId="7" fillId="5" borderId="30" xfId="0" applyNumberFormat="1" applyFont="1" applyFill="1" applyBorder="1" applyAlignment="1">
      <alignment horizontal="center"/>
    </xf>
    <xf numFmtId="166" fontId="7" fillId="5" borderId="31" xfId="0" applyNumberFormat="1" applyFont="1" applyFill="1" applyBorder="1" applyAlignment="1">
      <alignment horizontal="center"/>
    </xf>
    <xf numFmtId="166" fontId="7" fillId="5" borderId="32" xfId="0" applyNumberFormat="1" applyFont="1" applyFill="1" applyBorder="1" applyAlignment="1">
      <alignment horizontal="center"/>
    </xf>
    <xf numFmtId="165" fontId="9" fillId="7" borderId="8" xfId="0" applyNumberFormat="1" applyFont="1" applyFill="1" applyBorder="1" applyAlignment="1">
      <alignment shrinkToFit="1"/>
    </xf>
    <xf numFmtId="166" fontId="7" fillId="7" borderId="50" xfId="0" applyNumberFormat="1" applyFont="1" applyFill="1" applyBorder="1" applyAlignment="1">
      <alignment horizontal="center"/>
    </xf>
    <xf numFmtId="166" fontId="7" fillId="7" borderId="30" xfId="0" applyNumberFormat="1" applyFont="1" applyFill="1" applyBorder="1" applyAlignment="1">
      <alignment horizontal="center"/>
    </xf>
    <xf numFmtId="166" fontId="7" fillId="7" borderId="31" xfId="0" applyNumberFormat="1" applyFont="1" applyFill="1" applyBorder="1" applyAlignment="1">
      <alignment horizontal="center"/>
    </xf>
    <xf numFmtId="166" fontId="7" fillId="7" borderId="32" xfId="0" applyNumberFormat="1" applyFont="1" applyFill="1" applyBorder="1" applyAlignment="1">
      <alignment horizontal="center"/>
    </xf>
    <xf numFmtId="166" fontId="7" fillId="3" borderId="50" xfId="0" applyNumberFormat="1" applyFont="1" applyFill="1" applyBorder="1" applyAlignment="1">
      <alignment horizontal="center"/>
    </xf>
    <xf numFmtId="165" fontId="9" fillId="8" borderId="8" xfId="0" applyNumberFormat="1" applyFont="1" applyFill="1" applyBorder="1" applyAlignment="1">
      <alignment shrinkToFit="1"/>
    </xf>
    <xf numFmtId="166" fontId="7" fillId="8" borderId="50" xfId="0" applyNumberFormat="1" applyFont="1" applyFill="1" applyBorder="1" applyAlignment="1">
      <alignment horizontal="center"/>
    </xf>
    <xf numFmtId="166" fontId="7" fillId="8" borderId="53" xfId="0" applyNumberFormat="1" applyFont="1" applyFill="1" applyBorder="1" applyAlignment="1">
      <alignment horizontal="center"/>
    </xf>
    <xf numFmtId="166" fontId="7" fillId="8" borderId="54" xfId="0" applyNumberFormat="1" applyFont="1" applyFill="1" applyBorder="1" applyAlignment="1">
      <alignment horizontal="center"/>
    </xf>
    <xf numFmtId="166" fontId="7" fillId="8" borderId="55" xfId="0" applyNumberFormat="1" applyFont="1" applyFill="1" applyBorder="1" applyAlignment="1">
      <alignment horizontal="center"/>
    </xf>
    <xf numFmtId="9" fontId="14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center"/>
    </xf>
    <xf numFmtId="166" fontId="7" fillId="9" borderId="50" xfId="0" applyNumberFormat="1" applyFont="1" applyFill="1" applyBorder="1" applyAlignment="1">
      <alignment horizontal="center"/>
    </xf>
    <xf numFmtId="166" fontId="7" fillId="9" borderId="30" xfId="0" applyNumberFormat="1" applyFont="1" applyFill="1" applyBorder="1" applyAlignment="1">
      <alignment horizontal="center"/>
    </xf>
    <xf numFmtId="166" fontId="7" fillId="9" borderId="31" xfId="0" applyNumberFormat="1" applyFont="1" applyFill="1" applyBorder="1" applyAlignment="1">
      <alignment horizontal="center"/>
    </xf>
    <xf numFmtId="166" fontId="7" fillId="9" borderId="32" xfId="0" applyNumberFormat="1" applyFont="1" applyFill="1" applyBorder="1" applyAlignment="1">
      <alignment horizontal="center"/>
    </xf>
    <xf numFmtId="166" fontId="7" fillId="9" borderId="26" xfId="0" applyNumberFormat="1" applyFont="1" applyFill="1" applyBorder="1" applyAlignment="1">
      <alignment horizontal="center"/>
    </xf>
    <xf numFmtId="165" fontId="9" fillId="9" borderId="8" xfId="0" applyNumberFormat="1" applyFont="1" applyFill="1" applyBorder="1" applyAlignment="1">
      <alignment shrinkToFit="1"/>
    </xf>
    <xf numFmtId="165" fontId="9" fillId="11" borderId="8" xfId="0" applyNumberFormat="1" applyFont="1" applyFill="1" applyBorder="1" applyAlignment="1">
      <alignment shrinkToFit="1"/>
    </xf>
    <xf numFmtId="166" fontId="7" fillId="11" borderId="50" xfId="0" applyNumberFormat="1" applyFont="1" applyFill="1" applyBorder="1" applyAlignment="1">
      <alignment horizontal="center"/>
    </xf>
    <xf numFmtId="166" fontId="7" fillId="11" borderId="30" xfId="0" applyNumberFormat="1" applyFont="1" applyFill="1" applyBorder="1" applyAlignment="1">
      <alignment horizontal="center"/>
    </xf>
    <xf numFmtId="166" fontId="7" fillId="11" borderId="31" xfId="0" applyNumberFormat="1" applyFont="1" applyFill="1" applyBorder="1" applyAlignment="1">
      <alignment horizontal="center"/>
    </xf>
    <xf numFmtId="166" fontId="7" fillId="11" borderId="32" xfId="0" applyNumberFormat="1" applyFont="1" applyFill="1" applyBorder="1" applyAlignment="1">
      <alignment horizontal="center"/>
    </xf>
    <xf numFmtId="165" fontId="9" fillId="10" borderId="8" xfId="0" applyNumberFormat="1" applyFont="1" applyFill="1" applyBorder="1" applyAlignment="1">
      <alignment shrinkToFit="1"/>
    </xf>
    <xf numFmtId="166" fontId="7" fillId="10" borderId="30" xfId="0" applyNumberFormat="1" applyFont="1" applyFill="1" applyBorder="1" applyAlignment="1">
      <alignment horizontal="center"/>
    </xf>
    <xf numFmtId="166" fontId="7" fillId="10" borderId="31" xfId="0" applyNumberFormat="1" applyFont="1" applyFill="1" applyBorder="1" applyAlignment="1">
      <alignment horizontal="center"/>
    </xf>
    <xf numFmtId="166" fontId="7" fillId="10" borderId="32" xfId="0" applyNumberFormat="1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49" fontId="20" fillId="0" borderId="2" xfId="0" applyNumberFormat="1" applyFont="1" applyBorder="1" applyAlignment="1">
      <alignment horizontal="right" vertical="center" shrinkToFit="1"/>
    </xf>
    <xf numFmtId="49" fontId="20" fillId="0" borderId="8" xfId="0" applyNumberFormat="1" applyFont="1" applyBorder="1" applyAlignment="1">
      <alignment horizontal="right" vertical="center" shrinkToFit="1"/>
    </xf>
    <xf numFmtId="49" fontId="20" fillId="0" borderId="11" xfId="0" applyNumberFormat="1" applyFont="1" applyBorder="1" applyAlignment="1">
      <alignment horizontal="right" vertical="center" shrinkToFit="1"/>
    </xf>
    <xf numFmtId="0" fontId="17" fillId="0" borderId="22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165" fontId="18" fillId="0" borderId="25" xfId="0" applyNumberFormat="1" applyFont="1" applyBorder="1" applyAlignment="1">
      <alignment shrinkToFit="1"/>
    </xf>
    <xf numFmtId="165" fontId="18" fillId="3" borderId="8" xfId="0" applyNumberFormat="1" applyFont="1" applyFill="1" applyBorder="1" applyAlignment="1">
      <alignment shrinkToFit="1"/>
    </xf>
    <xf numFmtId="165" fontId="18" fillId="0" borderId="8" xfId="0" applyNumberFormat="1" applyFont="1" applyBorder="1" applyAlignment="1">
      <alignment shrinkToFit="1"/>
    </xf>
    <xf numFmtId="165" fontId="18" fillId="0" borderId="35" xfId="0" applyNumberFormat="1" applyFont="1" applyBorder="1" applyAlignment="1">
      <alignment shrinkToFit="1"/>
    </xf>
    <xf numFmtId="0" fontId="17" fillId="0" borderId="36" xfId="0" applyFont="1" applyBorder="1" applyAlignment="1">
      <alignment horizontal="left" shrinkToFit="1"/>
    </xf>
    <xf numFmtId="166" fontId="17" fillId="0" borderId="25" xfId="0" applyNumberFormat="1" applyFont="1" applyBorder="1" applyAlignment="1">
      <alignment shrinkToFit="1"/>
    </xf>
    <xf numFmtId="166" fontId="17" fillId="0" borderId="37" xfId="0" applyNumberFormat="1" applyFont="1" applyBorder="1" applyAlignment="1">
      <alignment horizontal="center"/>
    </xf>
    <xf numFmtId="0" fontId="17" fillId="0" borderId="8" xfId="0" applyFont="1" applyBorder="1" applyAlignment="1">
      <alignment horizontal="left" shrinkToFit="1"/>
    </xf>
    <xf numFmtId="166" fontId="17" fillId="0" borderId="8" xfId="0" applyNumberFormat="1" applyFont="1" applyBorder="1" applyAlignment="1">
      <alignment shrinkToFit="1"/>
    </xf>
    <xf numFmtId="166" fontId="17" fillId="0" borderId="31" xfId="0" applyNumberFormat="1" applyFont="1" applyBorder="1" applyAlignment="1">
      <alignment horizontal="center"/>
    </xf>
    <xf numFmtId="0" fontId="17" fillId="0" borderId="39" xfId="0" applyFont="1" applyBorder="1" applyAlignment="1">
      <alignment horizontal="left" shrinkToFit="1"/>
    </xf>
    <xf numFmtId="166" fontId="17" fillId="0" borderId="35" xfId="0" applyNumberFormat="1" applyFont="1" applyBorder="1" applyAlignment="1">
      <alignment shrinkToFit="1"/>
    </xf>
    <xf numFmtId="166" fontId="17" fillId="0" borderId="40" xfId="0" applyNumberFormat="1" applyFont="1" applyBorder="1" applyAlignment="1">
      <alignment horizontal="center"/>
    </xf>
    <xf numFmtId="0" fontId="17" fillId="0" borderId="13" xfId="0" applyFont="1" applyBorder="1" applyAlignment="1">
      <alignment horizontal="left" shrinkToFit="1"/>
    </xf>
    <xf numFmtId="166" fontId="17" fillId="0" borderId="20" xfId="0" applyNumberFormat="1" applyFont="1" applyBorder="1" applyAlignment="1">
      <alignment horizontal="center"/>
    </xf>
    <xf numFmtId="0" fontId="17" fillId="0" borderId="33" xfId="0" applyFont="1" applyBorder="1" applyAlignment="1">
      <alignment horizontal="left" shrinkToFit="1"/>
    </xf>
    <xf numFmtId="166" fontId="17" fillId="0" borderId="34" xfId="0" applyNumberFormat="1" applyFont="1" applyBorder="1" applyAlignment="1">
      <alignment horizontal="center"/>
    </xf>
    <xf numFmtId="0" fontId="17" fillId="0" borderId="15" xfId="0" applyFont="1" applyBorder="1" applyAlignment="1">
      <alignment horizontal="left" shrinkToFit="1"/>
    </xf>
    <xf numFmtId="166" fontId="17" fillId="0" borderId="19" xfId="0" applyNumberFormat="1" applyFont="1" applyBorder="1" applyAlignment="1">
      <alignment horizontal="center"/>
    </xf>
    <xf numFmtId="0" fontId="17" fillId="0" borderId="25" xfId="0" applyFont="1" applyBorder="1" applyAlignment="1">
      <alignment horizontal="left" shrinkToFit="1"/>
    </xf>
    <xf numFmtId="0" fontId="17" fillId="0" borderId="35" xfId="0" applyFont="1" applyBorder="1" applyAlignment="1">
      <alignment horizontal="left" shrinkToFit="1"/>
    </xf>
    <xf numFmtId="0" fontId="17" fillId="4" borderId="46" xfId="0" applyFont="1" applyFill="1" applyBorder="1" applyAlignment="1">
      <alignment horizontal="left" shrinkToFit="1"/>
    </xf>
    <xf numFmtId="0" fontId="17" fillId="0" borderId="47" xfId="0" applyFont="1" applyBorder="1" applyAlignment="1">
      <alignment shrinkToFit="1"/>
    </xf>
    <xf numFmtId="0" fontId="18" fillId="0" borderId="0" xfId="0" applyFont="1" applyAlignment="1">
      <alignment shrinkToFit="1"/>
    </xf>
    <xf numFmtId="0" fontId="14" fillId="0" borderId="0" xfId="0" applyFont="1" applyAlignment="1">
      <alignment shrinkToFit="1"/>
    </xf>
    <xf numFmtId="14" fontId="14" fillId="0" borderId="38" xfId="0" applyNumberFormat="1" applyFont="1" applyBorder="1"/>
    <xf numFmtId="0" fontId="21" fillId="0" borderId="38" xfId="0" applyFont="1" applyBorder="1"/>
    <xf numFmtId="9" fontId="14" fillId="0" borderId="12" xfId="0" applyNumberFormat="1" applyFont="1" applyBorder="1"/>
    <xf numFmtId="0" fontId="21" fillId="0" borderId="12" xfId="0" applyFont="1" applyBorder="1"/>
    <xf numFmtId="0" fontId="14" fillId="0" borderId="1" xfId="0" applyFont="1" applyBorder="1"/>
    <xf numFmtId="0" fontId="21" fillId="0" borderId="1" xfId="0" applyFont="1" applyBorder="1"/>
    <xf numFmtId="166" fontId="27" fillId="12" borderId="26" xfId="0" applyNumberFormat="1" applyFont="1" applyFill="1" applyBorder="1" applyAlignment="1">
      <alignment horizontal="center"/>
    </xf>
    <xf numFmtId="166" fontId="29" fillId="12" borderId="27" xfId="0" applyNumberFormat="1" applyFont="1" applyFill="1" applyBorder="1" applyAlignment="1">
      <alignment horizontal="center"/>
    </xf>
    <xf numFmtId="166" fontId="29" fillId="12" borderId="28" xfId="0" applyNumberFormat="1" applyFont="1" applyFill="1" applyBorder="1" applyAlignment="1">
      <alignment horizontal="center"/>
    </xf>
    <xf numFmtId="166" fontId="29" fillId="12" borderId="29" xfId="0" applyNumberFormat="1" applyFont="1" applyFill="1" applyBorder="1" applyAlignment="1">
      <alignment horizontal="center"/>
    </xf>
    <xf numFmtId="166" fontId="27" fillId="3" borderId="26" xfId="0" applyNumberFormat="1" applyFont="1" applyFill="1" applyBorder="1" applyAlignment="1">
      <alignment horizontal="center"/>
    </xf>
    <xf numFmtId="166" fontId="27" fillId="3" borderId="30" xfId="0" applyNumberFormat="1" applyFont="1" applyFill="1" applyBorder="1" applyAlignment="1">
      <alignment horizontal="center"/>
    </xf>
    <xf numFmtId="166" fontId="27" fillId="3" borderId="31" xfId="0" applyNumberFormat="1" applyFont="1" applyFill="1" applyBorder="1" applyAlignment="1">
      <alignment horizontal="center"/>
    </xf>
    <xf numFmtId="166" fontId="27" fillId="3" borderId="32" xfId="0" applyNumberFormat="1" applyFont="1" applyFill="1" applyBorder="1" applyAlignment="1">
      <alignment horizontal="center"/>
    </xf>
    <xf numFmtId="166" fontId="27" fillId="0" borderId="30" xfId="0" applyNumberFormat="1" applyFont="1" applyBorder="1" applyAlignment="1">
      <alignment horizontal="center"/>
    </xf>
    <xf numFmtId="166" fontId="27" fillId="0" borderId="31" xfId="0" applyNumberFormat="1" applyFont="1" applyBorder="1" applyAlignment="1">
      <alignment horizontal="center"/>
    </xf>
    <xf numFmtId="166" fontId="27" fillId="0" borderId="32" xfId="0" applyNumberFormat="1" applyFont="1" applyBorder="1" applyAlignment="1">
      <alignment horizontal="center"/>
    </xf>
    <xf numFmtId="166" fontId="27" fillId="0" borderId="26" xfId="0" applyNumberFormat="1" applyFont="1" applyBorder="1" applyAlignment="1">
      <alignment horizontal="center"/>
    </xf>
    <xf numFmtId="166" fontId="29" fillId="0" borderId="27" xfId="0" applyNumberFormat="1" applyFont="1" applyBorder="1" applyAlignment="1">
      <alignment horizontal="center"/>
    </xf>
    <xf numFmtId="166" fontId="29" fillId="0" borderId="28" xfId="0" applyNumberFormat="1" applyFont="1" applyBorder="1" applyAlignment="1">
      <alignment horizontal="center"/>
    </xf>
    <xf numFmtId="166" fontId="29" fillId="0" borderId="29" xfId="0" applyNumberFormat="1" applyFont="1" applyBorder="1" applyAlignment="1">
      <alignment horizontal="center"/>
    </xf>
    <xf numFmtId="166" fontId="27" fillId="13" borderId="30" xfId="0" applyNumberFormat="1" applyFont="1" applyFill="1" applyBorder="1" applyAlignment="1">
      <alignment horizontal="center"/>
    </xf>
    <xf numFmtId="166" fontId="27" fillId="13" borderId="31" xfId="0" applyNumberFormat="1" applyFont="1" applyFill="1" applyBorder="1" applyAlignment="1">
      <alignment horizontal="center"/>
    </xf>
    <xf numFmtId="166" fontId="27" fillId="13" borderId="32" xfId="0" applyNumberFormat="1" applyFont="1" applyFill="1" applyBorder="1" applyAlignment="1">
      <alignment horizontal="center"/>
    </xf>
    <xf numFmtId="0" fontId="19" fillId="0" borderId="34" xfId="0" applyFont="1" applyBorder="1"/>
    <xf numFmtId="166" fontId="17" fillId="0" borderId="33" xfId="0" applyNumberFormat="1" applyFont="1" applyBorder="1" applyAlignment="1">
      <alignment horizontal="left"/>
    </xf>
    <xf numFmtId="165" fontId="18" fillId="13" borderId="8" xfId="0" applyNumberFormat="1" applyFont="1" applyFill="1" applyBorder="1" applyAlignment="1">
      <alignment shrinkToFit="1"/>
    </xf>
    <xf numFmtId="165" fontId="18" fillId="13" borderId="25" xfId="0" applyNumberFormat="1" applyFont="1" applyFill="1" applyBorder="1" applyAlignment="1">
      <alignment shrinkToFit="1"/>
    </xf>
    <xf numFmtId="166" fontId="27" fillId="0" borderId="50" xfId="0" applyNumberFormat="1" applyFont="1" applyBorder="1" applyAlignment="1">
      <alignment horizontal="center"/>
    </xf>
    <xf numFmtId="0" fontId="19" fillId="0" borderId="42" xfId="0" applyFont="1" applyBorder="1"/>
    <xf numFmtId="17" fontId="18" fillId="0" borderId="44" xfId="0" applyNumberFormat="1" applyFont="1" applyBorder="1" applyAlignment="1">
      <alignment shrinkToFit="1"/>
    </xf>
    <xf numFmtId="166" fontId="27" fillId="0" borderId="53" xfId="0" applyNumberFormat="1" applyFont="1" applyBorder="1" applyAlignment="1">
      <alignment horizontal="center"/>
    </xf>
    <xf numFmtId="166" fontId="27" fillId="0" borderId="54" xfId="0" applyNumberFormat="1" applyFont="1" applyBorder="1" applyAlignment="1">
      <alignment horizontal="center"/>
    </xf>
    <xf numFmtId="166" fontId="27" fillId="0" borderId="55" xfId="0" applyNumberFormat="1" applyFont="1" applyBorder="1" applyAlignment="1">
      <alignment horizontal="center"/>
    </xf>
    <xf numFmtId="0" fontId="17" fillId="4" borderId="44" xfId="0" applyFont="1" applyFill="1" applyBorder="1" applyAlignment="1">
      <alignment horizontal="left" shrinkToFit="1"/>
    </xf>
    <xf numFmtId="0" fontId="17" fillId="0" borderId="41" xfId="0" applyFont="1" applyBorder="1" applyAlignment="1">
      <alignment shrinkToFit="1"/>
    </xf>
    <xf numFmtId="166" fontId="27" fillId="0" borderId="27" xfId="0" applyNumberFormat="1" applyFont="1" applyBorder="1" applyAlignment="1">
      <alignment horizontal="center"/>
    </xf>
    <xf numFmtId="166" fontId="27" fillId="0" borderId="28" xfId="0" applyNumberFormat="1" applyFont="1" applyBorder="1" applyAlignment="1">
      <alignment horizontal="center"/>
    </xf>
    <xf numFmtId="166" fontId="27" fillId="0" borderId="29" xfId="0" applyNumberFormat="1" applyFont="1" applyBorder="1" applyAlignment="1">
      <alignment horizontal="center"/>
    </xf>
    <xf numFmtId="166" fontId="27" fillId="13" borderId="50" xfId="0" applyNumberFormat="1" applyFont="1" applyFill="1" applyBorder="1" applyAlignment="1">
      <alignment horizontal="center"/>
    </xf>
    <xf numFmtId="166" fontId="27" fillId="13" borderId="26" xfId="0" applyNumberFormat="1" applyFont="1" applyFill="1" applyBorder="1" applyAlignment="1">
      <alignment horizontal="center"/>
    </xf>
    <xf numFmtId="17" fontId="9" fillId="0" borderId="44" xfId="0" applyNumberFormat="1" applyFont="1" applyBorder="1" applyAlignment="1">
      <alignment shrinkToFit="1"/>
    </xf>
    <xf numFmtId="166" fontId="7" fillId="0" borderId="26" xfId="0" applyNumberFormat="1" applyFont="1" applyBorder="1" applyAlignment="1">
      <alignment horizontal="center"/>
    </xf>
    <xf numFmtId="166" fontId="11" fillId="0" borderId="27" xfId="0" applyNumberFormat="1" applyFont="1" applyBorder="1" applyAlignment="1">
      <alignment horizontal="center"/>
    </xf>
    <xf numFmtId="166" fontId="11" fillId="0" borderId="28" xfId="0" applyNumberFormat="1" applyFont="1" applyBorder="1" applyAlignment="1">
      <alignment horizontal="center"/>
    </xf>
    <xf numFmtId="166" fontId="11" fillId="0" borderId="29" xfId="0" applyNumberFormat="1" applyFont="1" applyBorder="1" applyAlignment="1">
      <alignment horizontal="center"/>
    </xf>
    <xf numFmtId="166" fontId="7" fillId="0" borderId="53" xfId="0" applyNumberFormat="1" applyFont="1" applyBorder="1" applyAlignment="1">
      <alignment horizontal="center"/>
    </xf>
    <xf numFmtId="166" fontId="7" fillId="0" borderId="54" xfId="0" applyNumberFormat="1" applyFont="1" applyBorder="1" applyAlignment="1">
      <alignment horizontal="center"/>
    </xf>
    <xf numFmtId="166" fontId="7" fillId="0" borderId="55" xfId="0" applyNumberFormat="1" applyFont="1" applyBorder="1" applyAlignment="1">
      <alignment horizontal="center"/>
    </xf>
    <xf numFmtId="166" fontId="7" fillId="0" borderId="50" xfId="0" applyNumberFormat="1" applyFont="1" applyBorder="1" applyAlignment="1">
      <alignment horizontal="center"/>
    </xf>
    <xf numFmtId="166" fontId="7" fillId="0" borderId="27" xfId="0" applyNumberFormat="1" applyFont="1" applyBorder="1" applyAlignment="1">
      <alignment horizontal="center"/>
    </xf>
    <xf numFmtId="166" fontId="7" fillId="0" borderId="28" xfId="0" applyNumberFormat="1" applyFont="1" applyBorder="1" applyAlignment="1">
      <alignment horizontal="center"/>
    </xf>
    <xf numFmtId="166" fontId="7" fillId="0" borderId="29" xfId="0" applyNumberFormat="1" applyFont="1" applyBorder="1" applyAlignment="1">
      <alignment horizontal="center"/>
    </xf>
    <xf numFmtId="0" fontId="12" fillId="4" borderId="44" xfId="0" applyFont="1" applyFill="1" applyBorder="1" applyAlignment="1">
      <alignment horizontal="left" shrinkToFit="1"/>
    </xf>
    <xf numFmtId="0" fontId="12" fillId="0" borderId="41" xfId="0" applyFont="1" applyBorder="1" applyAlignment="1">
      <alignment shrinkToFit="1"/>
    </xf>
    <xf numFmtId="166" fontId="7" fillId="10" borderId="50" xfId="0" applyNumberFormat="1" applyFont="1" applyFill="1" applyBorder="1" applyAlignment="1">
      <alignment horizontal="center"/>
    </xf>
    <xf numFmtId="166" fontId="17" fillId="4" borderId="44" xfId="0" applyNumberFormat="1" applyFont="1" applyFill="1" applyBorder="1" applyAlignment="1">
      <alignment horizontal="center"/>
    </xf>
    <xf numFmtId="0" fontId="19" fillId="0" borderId="45" xfId="0" applyFont="1" applyBorder="1"/>
    <xf numFmtId="166" fontId="17" fillId="0" borderId="18" xfId="0" applyNumberFormat="1" applyFont="1" applyBorder="1" applyAlignment="1">
      <alignment horizontal="center"/>
    </xf>
    <xf numFmtId="0" fontId="19" fillId="0" borderId="18" xfId="0" applyFont="1" applyBorder="1"/>
    <xf numFmtId="0" fontId="19" fillId="0" borderId="16" xfId="0" applyFont="1" applyBorder="1"/>
    <xf numFmtId="166" fontId="17" fillId="0" borderId="15" xfId="0" applyNumberFormat="1" applyFont="1" applyBorder="1" applyAlignment="1">
      <alignment horizontal="center"/>
    </xf>
    <xf numFmtId="0" fontId="19" fillId="0" borderId="19" xfId="0" applyFont="1" applyBorder="1"/>
    <xf numFmtId="166" fontId="17" fillId="4" borderId="41" xfId="0" applyNumberFormat="1" applyFont="1" applyFill="1" applyBorder="1" applyAlignment="1">
      <alignment horizontal="center"/>
    </xf>
    <xf numFmtId="0" fontId="19" fillId="0" borderId="42" xfId="0" applyFont="1" applyBorder="1"/>
    <xf numFmtId="0" fontId="19" fillId="0" borderId="43" xfId="0" applyFont="1" applyBorder="1"/>
    <xf numFmtId="166" fontId="17" fillId="0" borderId="33" xfId="0" applyNumberFormat="1" applyFont="1" applyBorder="1" applyAlignment="1">
      <alignment horizontal="center"/>
    </xf>
    <xf numFmtId="0" fontId="19" fillId="0" borderId="38" xfId="0" applyFont="1" applyBorder="1"/>
    <xf numFmtId="0" fontId="19" fillId="0" borderId="34" xfId="0" applyFont="1" applyBorder="1"/>
    <xf numFmtId="166" fontId="17" fillId="0" borderId="38" xfId="0" applyNumberFormat="1" applyFont="1" applyBorder="1" applyAlignment="1">
      <alignment horizontal="center"/>
    </xf>
    <xf numFmtId="0" fontId="23" fillId="0" borderId="1" xfId="0" applyFont="1" applyBorder="1" applyAlignment="1">
      <alignment horizontal="right" shrinkToFit="1"/>
    </xf>
    <xf numFmtId="0" fontId="23" fillId="0" borderId="1" xfId="0" applyFont="1" applyBorder="1" applyAlignment="1">
      <alignment horizontal="right"/>
    </xf>
    <xf numFmtId="167" fontId="17" fillId="0" borderId="47" xfId="0" applyNumberFormat="1" applyFont="1" applyBorder="1" applyAlignment="1">
      <alignment horizontal="center"/>
    </xf>
    <xf numFmtId="0" fontId="19" fillId="0" borderId="48" xfId="0" applyFont="1" applyBorder="1"/>
    <xf numFmtId="0" fontId="19" fillId="0" borderId="49" xfId="0" applyFont="1" applyBorder="1"/>
    <xf numFmtId="166" fontId="17" fillId="0" borderId="47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top" shrinkToFit="1"/>
    </xf>
    <xf numFmtId="0" fontId="19" fillId="0" borderId="4" xfId="0" applyFont="1" applyBorder="1" applyAlignment="1">
      <alignment horizontal="center"/>
    </xf>
    <xf numFmtId="0" fontId="22" fillId="0" borderId="0" xfId="0" applyFont="1" applyAlignment="1">
      <alignment horizontal="right" vertical="center" wrapText="1"/>
    </xf>
    <xf numFmtId="0" fontId="18" fillId="0" borderId="1" xfId="0" applyFont="1" applyBorder="1" applyAlignment="1">
      <alignment horizontal="center" vertical="center"/>
    </xf>
    <xf numFmtId="166" fontId="17" fillId="0" borderId="41" xfId="0" applyNumberFormat="1" applyFont="1" applyBorder="1" applyAlignment="1">
      <alignment horizontal="center"/>
    </xf>
    <xf numFmtId="166" fontId="17" fillId="0" borderId="33" xfId="0" applyNumberFormat="1" applyFont="1" applyBorder="1" applyAlignment="1">
      <alignment horizontal="left"/>
    </xf>
    <xf numFmtId="0" fontId="17" fillId="0" borderId="33" xfId="0" applyFont="1" applyBorder="1" applyAlignment="1">
      <alignment horizontal="left"/>
    </xf>
    <xf numFmtId="166" fontId="17" fillId="0" borderId="5" xfId="0" applyNumberFormat="1" applyFont="1" applyBorder="1" applyAlignment="1">
      <alignment horizontal="center"/>
    </xf>
    <xf numFmtId="0" fontId="19" fillId="0" borderId="10" xfId="0" applyFont="1" applyBorder="1"/>
    <xf numFmtId="0" fontId="19" fillId="0" borderId="20" xfId="0" applyFont="1" applyBorder="1"/>
    <xf numFmtId="166" fontId="17" fillId="0" borderId="13" xfId="0" applyNumberFormat="1" applyFont="1" applyBorder="1" applyAlignment="1">
      <alignment horizontal="center"/>
    </xf>
    <xf numFmtId="0" fontId="19" fillId="0" borderId="12" xfId="0" applyFont="1" applyBorder="1"/>
    <xf numFmtId="0" fontId="19" fillId="0" borderId="14" xfId="0" applyFont="1" applyBorder="1"/>
    <xf numFmtId="166" fontId="17" fillId="0" borderId="51" xfId="0" applyNumberFormat="1" applyFont="1" applyBorder="1" applyAlignment="1">
      <alignment horizontal="left"/>
    </xf>
    <xf numFmtId="0" fontId="19" fillId="0" borderId="52" xfId="0" applyFont="1" applyBorder="1"/>
    <xf numFmtId="166" fontId="17" fillId="0" borderId="10" xfId="0" applyNumberFormat="1" applyFont="1" applyBorder="1" applyAlignment="1">
      <alignment horizontal="center"/>
    </xf>
    <xf numFmtId="0" fontId="19" fillId="0" borderId="6" xfId="0" applyFont="1" applyBorder="1"/>
    <xf numFmtId="0" fontId="19" fillId="0" borderId="26" xfId="0" applyFont="1" applyBorder="1"/>
    <xf numFmtId="0" fontId="17" fillId="0" borderId="5" xfId="0" applyFont="1" applyBorder="1" applyAlignment="1">
      <alignment horizontal="left"/>
    </xf>
    <xf numFmtId="0" fontId="17" fillId="0" borderId="20" xfId="0" applyFont="1" applyBorder="1" applyAlignment="1">
      <alignment horizontal="left"/>
    </xf>
    <xf numFmtId="0" fontId="20" fillId="0" borderId="33" xfId="0" applyFont="1" applyBorder="1" applyAlignment="1">
      <alignment horizontal="left"/>
    </xf>
    <xf numFmtId="0" fontId="30" fillId="0" borderId="34" xfId="0" applyFont="1" applyBorder="1"/>
    <xf numFmtId="166" fontId="20" fillId="0" borderId="33" xfId="0" applyNumberFormat="1" applyFont="1" applyBorder="1" applyAlignment="1">
      <alignment horizontal="left"/>
    </xf>
    <xf numFmtId="166" fontId="17" fillId="12" borderId="5" xfId="0" applyNumberFormat="1" applyFont="1" applyFill="1" applyBorder="1" applyAlignment="1">
      <alignment horizontal="left"/>
    </xf>
    <xf numFmtId="0" fontId="19" fillId="13" borderId="20" xfId="0" applyFont="1" applyFill="1" applyBorder="1"/>
    <xf numFmtId="0" fontId="17" fillId="3" borderId="33" xfId="0" applyFont="1" applyFill="1" applyBorder="1" applyAlignment="1">
      <alignment horizontal="left"/>
    </xf>
    <xf numFmtId="0" fontId="26" fillId="0" borderId="9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17" fillId="0" borderId="42" xfId="0" applyFont="1" applyBorder="1" applyAlignment="1">
      <alignment horizontal="right" vertical="center"/>
    </xf>
    <xf numFmtId="0" fontId="19" fillId="0" borderId="42" xfId="0" applyFont="1" applyBorder="1" applyAlignment="1">
      <alignment horizontal="right" vertical="center"/>
    </xf>
    <xf numFmtId="0" fontId="24" fillId="0" borderId="42" xfId="0" applyFont="1" applyBorder="1" applyAlignment="1">
      <alignment horizontal="center" vertical="center"/>
    </xf>
    <xf numFmtId="0" fontId="25" fillId="0" borderId="42" xfId="0" applyFont="1" applyBorder="1" applyAlignment="1">
      <alignment vertical="center"/>
    </xf>
    <xf numFmtId="164" fontId="24" fillId="0" borderId="42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right"/>
    </xf>
    <xf numFmtId="0" fontId="29" fillId="0" borderId="17" xfId="0" applyFont="1" applyBorder="1" applyAlignment="1">
      <alignment horizontal="left"/>
    </xf>
    <xf numFmtId="0" fontId="28" fillId="0" borderId="18" xfId="0" applyFont="1" applyBorder="1"/>
    <xf numFmtId="0" fontId="28" fillId="0" borderId="19" xfId="0" applyFont="1" applyBorder="1"/>
    <xf numFmtId="0" fontId="27" fillId="0" borderId="51" xfId="0" applyFont="1" applyBorder="1" applyAlignment="1">
      <alignment horizontal="center"/>
    </xf>
    <xf numFmtId="0" fontId="28" fillId="0" borderId="21" xfId="0" applyFont="1" applyBorder="1"/>
    <xf numFmtId="0" fontId="28" fillId="0" borderId="52" xfId="0" applyFont="1" applyBorder="1"/>
    <xf numFmtId="0" fontId="27" fillId="0" borderId="5" xfId="0" applyFont="1" applyBorder="1" applyAlignment="1">
      <alignment horizontal="center" wrapText="1" shrinkToFit="1"/>
    </xf>
    <xf numFmtId="0" fontId="28" fillId="0" borderId="10" xfId="0" applyFont="1" applyBorder="1" applyAlignment="1">
      <alignment wrapText="1"/>
    </xf>
    <xf numFmtId="0" fontId="28" fillId="0" borderId="20" xfId="0" applyFont="1" applyBorder="1" applyAlignment="1">
      <alignment wrapText="1"/>
    </xf>
    <xf numFmtId="0" fontId="20" fillId="0" borderId="3" xfId="0" applyFont="1" applyBorder="1" applyAlignment="1">
      <alignment horizontal="center" vertical="center" wrapText="1"/>
    </xf>
    <xf numFmtId="0" fontId="19" fillId="0" borderId="7" xfId="0" applyFont="1" applyBorder="1"/>
    <xf numFmtId="0" fontId="19" fillId="0" borderId="44" xfId="0" applyFont="1" applyBorder="1"/>
    <xf numFmtId="0" fontId="19" fillId="0" borderId="41" xfId="0" applyFont="1" applyBorder="1"/>
    <xf numFmtId="0" fontId="20" fillId="0" borderId="15" xfId="0" applyFont="1" applyBorder="1" applyAlignment="1">
      <alignment horizontal="right"/>
    </xf>
    <xf numFmtId="166" fontId="20" fillId="0" borderId="5" xfId="0" applyNumberFormat="1" applyFont="1" applyBorder="1" applyAlignment="1">
      <alignment horizontal="left"/>
    </xf>
    <xf numFmtId="166" fontId="31" fillId="0" borderId="33" xfId="0" applyNumberFormat="1" applyFont="1" applyBorder="1" applyAlignment="1">
      <alignment horizontal="left"/>
    </xf>
    <xf numFmtId="166" fontId="17" fillId="0" borderId="5" xfId="0" applyNumberFormat="1" applyFont="1" applyBorder="1" applyAlignment="1">
      <alignment horizontal="left"/>
    </xf>
    <xf numFmtId="166" fontId="17" fillId="0" borderId="20" xfId="0" applyNumberFormat="1" applyFont="1" applyBorder="1" applyAlignment="1">
      <alignment horizontal="left"/>
    </xf>
    <xf numFmtId="0" fontId="22" fillId="0" borderId="0" xfId="0" applyFont="1" applyAlignment="1">
      <alignment horizontal="center" vertical="center"/>
    </xf>
    <xf numFmtId="166" fontId="20" fillId="0" borderId="51" xfId="0" applyNumberFormat="1" applyFont="1" applyBorder="1" applyAlignment="1">
      <alignment horizontal="left"/>
    </xf>
    <xf numFmtId="0" fontId="30" fillId="0" borderId="52" xfId="0" applyFont="1" applyBorder="1"/>
    <xf numFmtId="166" fontId="17" fillId="0" borderId="13" xfId="0" applyNumberFormat="1" applyFont="1" applyBorder="1" applyAlignment="1">
      <alignment horizontal="left"/>
    </xf>
    <xf numFmtId="166" fontId="17" fillId="13" borderId="33" xfId="0" applyNumberFormat="1" applyFont="1" applyFill="1" applyBorder="1" applyAlignment="1">
      <alignment horizontal="left"/>
    </xf>
    <xf numFmtId="0" fontId="19" fillId="13" borderId="34" xfId="0" applyFont="1" applyFill="1" applyBorder="1"/>
    <xf numFmtId="0" fontId="29" fillId="0" borderId="17" xfId="0" applyFont="1" applyBorder="1" applyAlignment="1">
      <alignment horizontal="center"/>
    </xf>
    <xf numFmtId="0" fontId="28" fillId="0" borderId="18" xfId="0" applyFont="1" applyBorder="1" applyAlignment="1">
      <alignment horizontal="center"/>
    </xf>
    <xf numFmtId="0" fontId="28" fillId="0" borderId="19" xfId="0" applyFont="1" applyBorder="1" applyAlignment="1">
      <alignment horizontal="center"/>
    </xf>
    <xf numFmtId="0" fontId="17" fillId="14" borderId="33" xfId="0" applyFont="1" applyFill="1" applyBorder="1" applyAlignment="1">
      <alignment horizontal="left"/>
    </xf>
    <xf numFmtId="166" fontId="17" fillId="0" borderId="34" xfId="0" applyNumberFormat="1" applyFont="1" applyBorder="1" applyAlignment="1">
      <alignment horizontal="left"/>
    </xf>
    <xf numFmtId="166" fontId="17" fillId="13" borderId="34" xfId="0" applyNumberFormat="1" applyFont="1" applyFill="1" applyBorder="1" applyAlignment="1">
      <alignment horizontal="left"/>
    </xf>
    <xf numFmtId="166" fontId="13" fillId="4" borderId="44" xfId="0" applyNumberFormat="1" applyFont="1" applyFill="1" applyBorder="1" applyAlignment="1">
      <alignment horizontal="center"/>
    </xf>
    <xf numFmtId="0" fontId="3" fillId="0" borderId="45" xfId="0" applyFont="1" applyBorder="1"/>
    <xf numFmtId="166" fontId="2" fillId="0" borderId="18" xfId="0" applyNumberFormat="1" applyFont="1" applyBorder="1" applyAlignment="1">
      <alignment horizontal="center"/>
    </xf>
    <xf numFmtId="0" fontId="3" fillId="0" borderId="18" xfId="0" applyFont="1" applyBorder="1"/>
    <xf numFmtId="0" fontId="3" fillId="0" borderId="16" xfId="0" applyFont="1" applyBorder="1"/>
    <xf numFmtId="166" fontId="2" fillId="0" borderId="15" xfId="0" applyNumberFormat="1" applyFont="1" applyBorder="1" applyAlignment="1">
      <alignment horizontal="center"/>
    </xf>
    <xf numFmtId="0" fontId="3" fillId="0" borderId="19" xfId="0" applyFont="1" applyBorder="1"/>
    <xf numFmtId="166" fontId="13" fillId="4" borderId="41" xfId="0" applyNumberFormat="1" applyFont="1" applyFill="1" applyBorder="1" applyAlignment="1">
      <alignment horizontal="center"/>
    </xf>
    <xf numFmtId="0" fontId="3" fillId="0" borderId="42" xfId="0" applyFont="1" applyBorder="1"/>
    <xf numFmtId="0" fontId="3" fillId="0" borderId="43" xfId="0" applyFont="1" applyBorder="1"/>
    <xf numFmtId="166" fontId="2" fillId="0" borderId="33" xfId="0" applyNumberFormat="1" applyFont="1" applyBorder="1" applyAlignment="1">
      <alignment horizontal="center"/>
    </xf>
    <xf numFmtId="0" fontId="3" fillId="0" borderId="38" xfId="0" applyFont="1" applyBorder="1"/>
    <xf numFmtId="0" fontId="3" fillId="0" borderId="34" xfId="0" applyFont="1" applyBorder="1"/>
    <xf numFmtId="166" fontId="2" fillId="0" borderId="38" xfId="0" applyNumberFormat="1" applyFont="1" applyBorder="1" applyAlignment="1">
      <alignment horizontal="center"/>
    </xf>
    <xf numFmtId="0" fontId="16" fillId="0" borderId="12" xfId="0" applyFont="1" applyBorder="1" applyAlignment="1">
      <alignment shrinkToFit="1"/>
    </xf>
    <xf numFmtId="0" fontId="3" fillId="0" borderId="12" xfId="0" applyFont="1" applyBorder="1"/>
    <xf numFmtId="9" fontId="14" fillId="0" borderId="12" xfId="0" applyNumberFormat="1" applyFont="1" applyBorder="1" applyAlignment="1">
      <alignment horizontal="center"/>
    </xf>
    <xf numFmtId="0" fontId="16" fillId="0" borderId="38" xfId="0" applyFont="1" applyBorder="1" applyAlignment="1">
      <alignment shrinkToFit="1"/>
    </xf>
    <xf numFmtId="14" fontId="14" fillId="0" borderId="38" xfId="0" applyNumberFormat="1" applyFont="1" applyBorder="1" applyAlignment="1">
      <alignment horizontal="center"/>
    </xf>
    <xf numFmtId="167" fontId="13" fillId="0" borderId="47" xfId="0" applyNumberFormat="1" applyFont="1" applyBorder="1" applyAlignment="1">
      <alignment horizontal="center"/>
    </xf>
    <xf numFmtId="0" fontId="3" fillId="0" borderId="48" xfId="0" applyFont="1" applyBorder="1"/>
    <xf numFmtId="0" fontId="3" fillId="0" borderId="49" xfId="0" applyFont="1" applyBorder="1"/>
    <xf numFmtId="166" fontId="13" fillId="0" borderId="47" xfId="0" applyNumberFormat="1" applyFont="1" applyBorder="1" applyAlignment="1">
      <alignment horizontal="center"/>
    </xf>
    <xf numFmtId="0" fontId="15" fillId="0" borderId="4" xfId="0" applyFont="1" applyBorder="1" applyAlignment="1">
      <alignment horizontal="left" vertical="top" shrinkToFit="1"/>
    </xf>
    <xf numFmtId="0" fontId="3" fillId="0" borderId="4" xfId="0" applyFont="1" applyBorder="1"/>
    <xf numFmtId="0" fontId="16" fillId="0" borderId="42" xfId="0" applyFont="1" applyBorder="1" applyAlignment="1">
      <alignment horizontal="center"/>
    </xf>
    <xf numFmtId="166" fontId="2" fillId="0" borderId="41" xfId="0" applyNumberFormat="1" applyFont="1" applyBorder="1" applyAlignment="1">
      <alignment horizontal="center"/>
    </xf>
    <xf numFmtId="166" fontId="2" fillId="0" borderId="47" xfId="0" applyNumberFormat="1" applyFont="1" applyBorder="1" applyAlignment="1">
      <alignment horizontal="center"/>
    </xf>
    <xf numFmtId="166" fontId="10" fillId="9" borderId="33" xfId="0" applyNumberFormat="1" applyFont="1" applyFill="1" applyBorder="1" applyAlignment="1">
      <alignment horizontal="left"/>
    </xf>
    <xf numFmtId="0" fontId="3" fillId="10" borderId="34" xfId="0" applyFont="1" applyFill="1" applyBorder="1"/>
    <xf numFmtId="0" fontId="10" fillId="0" borderId="33" xfId="0" applyFont="1" applyBorder="1" applyAlignment="1">
      <alignment horizontal="left"/>
    </xf>
    <xf numFmtId="166" fontId="10" fillId="0" borderId="33" xfId="0" applyNumberFormat="1" applyFont="1" applyBorder="1" applyAlignment="1">
      <alignment horizontal="left"/>
    </xf>
    <xf numFmtId="166" fontId="2" fillId="0" borderId="5" xfId="0" applyNumberFormat="1" applyFont="1" applyBorder="1" applyAlignment="1">
      <alignment horizontal="center"/>
    </xf>
    <xf numFmtId="0" fontId="3" fillId="0" borderId="10" xfId="0" applyFont="1" applyBorder="1"/>
    <xf numFmtId="0" fontId="3" fillId="0" borderId="20" xfId="0" applyFont="1" applyBorder="1"/>
    <xf numFmtId="166" fontId="2" fillId="0" borderId="13" xfId="0" applyNumberFormat="1" applyFont="1" applyBorder="1" applyAlignment="1">
      <alignment horizontal="center"/>
    </xf>
    <xf numFmtId="0" fontId="3" fillId="0" borderId="14" xfId="0" applyFont="1" applyBorder="1"/>
    <xf numFmtId="166" fontId="10" fillId="2" borderId="33" xfId="0" applyNumberFormat="1" applyFont="1" applyFill="1" applyBorder="1" applyAlignment="1">
      <alignment horizontal="left"/>
    </xf>
    <xf numFmtId="166" fontId="2" fillId="0" borderId="10" xfId="0" applyNumberFormat="1" applyFont="1" applyBorder="1" applyAlignment="1">
      <alignment horizontal="center"/>
    </xf>
    <xf numFmtId="0" fontId="3" fillId="0" borderId="6" xfId="0" applyFont="1" applyBorder="1"/>
    <xf numFmtId="0" fontId="3" fillId="0" borderId="26" xfId="0" applyFont="1" applyBorder="1"/>
    <xf numFmtId="166" fontId="10" fillId="0" borderId="13" xfId="0" applyNumberFormat="1" applyFont="1" applyBorder="1" applyAlignment="1">
      <alignment horizontal="left"/>
    </xf>
    <xf numFmtId="166" fontId="5" fillId="0" borderId="33" xfId="0" applyNumberFormat="1" applyFont="1" applyBorder="1" applyAlignment="1">
      <alignment horizontal="left"/>
    </xf>
    <xf numFmtId="166" fontId="10" fillId="0" borderId="51" xfId="0" applyNumberFormat="1" applyFont="1" applyBorder="1" applyAlignment="1">
      <alignment horizontal="left"/>
    </xf>
    <xf numFmtId="0" fontId="3" fillId="0" borderId="52" xfId="0" applyFont="1" applyBorder="1"/>
    <xf numFmtId="166" fontId="5" fillId="0" borderId="5" xfId="0" applyNumberFormat="1" applyFont="1" applyBorder="1" applyAlignment="1">
      <alignment horizontal="left"/>
    </xf>
    <xf numFmtId="0" fontId="10" fillId="3" borderId="33" xfId="0" applyFont="1" applyFill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4" fillId="0" borderId="42" xfId="0" applyFont="1" applyBorder="1" applyAlignment="1">
      <alignment horizontal="center"/>
    </xf>
    <xf numFmtId="164" fontId="4" fillId="0" borderId="42" xfId="0" applyNumberFormat="1" applyFont="1" applyBorder="1" applyAlignment="1">
      <alignment horizontal="center"/>
    </xf>
    <xf numFmtId="0" fontId="4" fillId="0" borderId="5" xfId="0" applyFont="1" applyBorder="1" applyAlignment="1">
      <alignment horizontal="right"/>
    </xf>
    <xf numFmtId="0" fontId="8" fillId="0" borderId="9" xfId="0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8" fillId="0" borderId="17" xfId="0" applyFont="1" applyBorder="1" applyAlignment="1">
      <alignment horizontal="left"/>
    </xf>
    <xf numFmtId="0" fontId="7" fillId="0" borderId="51" xfId="0" applyFont="1" applyBorder="1" applyAlignment="1">
      <alignment horizontal="center"/>
    </xf>
    <xf numFmtId="0" fontId="3" fillId="0" borderId="21" xfId="0" applyFont="1" applyBorder="1"/>
    <xf numFmtId="0" fontId="7" fillId="0" borderId="5" xfId="0" applyFont="1" applyBorder="1" applyAlignment="1">
      <alignment horizontal="center" shrinkToFit="1"/>
    </xf>
    <xf numFmtId="0" fontId="5" fillId="0" borderId="3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44" xfId="0" applyFont="1" applyBorder="1"/>
    <xf numFmtId="0" fontId="3" fillId="0" borderId="41" xfId="0" applyFont="1" applyBorder="1"/>
    <xf numFmtId="0" fontId="4" fillId="0" borderId="15" xfId="0" applyFont="1" applyBorder="1" applyAlignment="1">
      <alignment horizontal="right"/>
    </xf>
    <xf numFmtId="166" fontId="10" fillId="6" borderId="51" xfId="0" applyNumberFormat="1" applyFont="1" applyFill="1" applyBorder="1" applyAlignment="1">
      <alignment horizontal="left"/>
    </xf>
    <xf numFmtId="166" fontId="10" fillId="5" borderId="33" xfId="0" applyNumberFormat="1" applyFont="1" applyFill="1" applyBorder="1" applyAlignment="1">
      <alignment horizontal="left"/>
    </xf>
    <xf numFmtId="166" fontId="10" fillId="10" borderId="33" xfId="0" applyNumberFormat="1" applyFont="1" applyFill="1" applyBorder="1" applyAlignment="1">
      <alignment horizontal="left"/>
    </xf>
    <xf numFmtId="166" fontId="10" fillId="11" borderId="33" xfId="0" applyNumberFormat="1" applyFont="1" applyFill="1" applyBorder="1" applyAlignment="1">
      <alignment horizontal="left"/>
    </xf>
    <xf numFmtId="166" fontId="10" fillId="3" borderId="51" xfId="0" applyNumberFormat="1" applyFont="1" applyFill="1" applyBorder="1" applyAlignment="1">
      <alignment horizontal="left"/>
    </xf>
    <xf numFmtId="0" fontId="10" fillId="2" borderId="33" xfId="0" applyFont="1" applyFill="1" applyBorder="1" applyAlignment="1">
      <alignment horizontal="left"/>
    </xf>
    <xf numFmtId="166" fontId="10" fillId="7" borderId="33" xfId="0" applyNumberFormat="1" applyFont="1" applyFill="1" applyBorder="1" applyAlignment="1">
      <alignment horizontal="left"/>
    </xf>
    <xf numFmtId="166" fontId="10" fillId="3" borderId="33" xfId="0" applyNumberFormat="1" applyFont="1" applyFill="1" applyBorder="1" applyAlignment="1">
      <alignment horizontal="left"/>
    </xf>
    <xf numFmtId="166" fontId="10" fillId="8" borderId="51" xfId="0" applyNumberFormat="1" applyFont="1" applyFill="1" applyBorder="1" applyAlignment="1">
      <alignment horizontal="left"/>
    </xf>
  </cellXfs>
  <cellStyles count="1">
    <cellStyle name="Normal" xfId="0" builtinId="0"/>
  </cellStyles>
  <dxfs count="130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FFF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FFF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FFF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FFF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FFF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FFF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FFF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FFF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FFF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FFF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FFF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FFF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C999"/>
  <sheetViews>
    <sheetView tabSelected="1" zoomScale="80" zoomScaleNormal="80" workbookViewId="0">
      <selection activeCell="F34" sqref="F34"/>
    </sheetView>
  </sheetViews>
  <sheetFormatPr defaultColWidth="14.44140625" defaultRowHeight="15" customHeight="1" x14ac:dyDescent="0.25"/>
  <cols>
    <col min="1" max="1" width="24" customWidth="1"/>
    <col min="2" max="16" width="5.33203125" customWidth="1"/>
    <col min="17" max="17" width="17.5546875" bestFit="1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41.25" customHeight="1" thickBot="1" x14ac:dyDescent="0.35">
      <c r="A1" s="228" t="s">
        <v>0</v>
      </c>
      <c r="B1" s="229"/>
      <c r="C1" s="230" t="s">
        <v>1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2">
        <v>46023</v>
      </c>
      <c r="Q1" s="231"/>
      <c r="R1" s="231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233" t="s">
        <v>2</v>
      </c>
      <c r="B2" s="215"/>
      <c r="C2" s="225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7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8" thickBot="1" x14ac:dyDescent="0.35">
      <c r="A3" s="247" t="s">
        <v>3</v>
      </c>
      <c r="B3" s="183"/>
      <c r="C3" s="234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6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54" customHeight="1" x14ac:dyDescent="0.25">
      <c r="A4" s="92" t="s">
        <v>4</v>
      </c>
      <c r="B4" s="240"/>
      <c r="C4" s="241"/>
      <c r="D4" s="242"/>
      <c r="E4" s="240"/>
      <c r="F4" s="241"/>
      <c r="G4" s="242"/>
      <c r="H4" s="240"/>
      <c r="I4" s="241"/>
      <c r="J4" s="242"/>
      <c r="K4" s="240"/>
      <c r="L4" s="241"/>
      <c r="M4" s="242"/>
      <c r="N4" s="240"/>
      <c r="O4" s="241"/>
      <c r="P4" s="242"/>
      <c r="Q4" s="243" t="s">
        <v>5</v>
      </c>
      <c r="R4" s="244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93" t="s">
        <v>6</v>
      </c>
      <c r="B5" s="237"/>
      <c r="C5" s="238"/>
      <c r="D5" s="239"/>
      <c r="E5" s="237"/>
      <c r="F5" s="238"/>
      <c r="G5" s="239"/>
      <c r="H5" s="237"/>
      <c r="I5" s="238"/>
      <c r="J5" s="239"/>
      <c r="K5" s="237"/>
      <c r="L5" s="238"/>
      <c r="M5" s="239"/>
      <c r="N5" s="237"/>
      <c r="O5" s="238"/>
      <c r="P5" s="239"/>
      <c r="Q5" s="245"/>
      <c r="R5" s="180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x14ac:dyDescent="0.25">
      <c r="A6" s="94" t="s">
        <v>7</v>
      </c>
      <c r="B6" s="237"/>
      <c r="C6" s="238"/>
      <c r="D6" s="239"/>
      <c r="E6" s="237"/>
      <c r="F6" s="238"/>
      <c r="G6" s="239"/>
      <c r="H6" s="237"/>
      <c r="I6" s="238"/>
      <c r="J6" s="239"/>
      <c r="K6" s="237"/>
      <c r="L6" s="238"/>
      <c r="M6" s="239"/>
      <c r="N6" s="237"/>
      <c r="O6" s="238"/>
      <c r="P6" s="239"/>
      <c r="Q6" s="245"/>
      <c r="R6" s="180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x14ac:dyDescent="0.25">
      <c r="A7" s="153"/>
      <c r="B7" s="95" t="s">
        <v>8</v>
      </c>
      <c r="C7" s="96" t="s">
        <v>9</v>
      </c>
      <c r="D7" s="97" t="s">
        <v>10</v>
      </c>
      <c r="E7" s="95" t="s">
        <v>8</v>
      </c>
      <c r="F7" s="96" t="s">
        <v>9</v>
      </c>
      <c r="G7" s="97" t="s">
        <v>10</v>
      </c>
      <c r="H7" s="95" t="s">
        <v>8</v>
      </c>
      <c r="I7" s="96" t="s">
        <v>9</v>
      </c>
      <c r="J7" s="97" t="s">
        <v>10</v>
      </c>
      <c r="K7" s="95" t="s">
        <v>8</v>
      </c>
      <c r="L7" s="96" t="s">
        <v>9</v>
      </c>
      <c r="M7" s="97" t="s">
        <v>10</v>
      </c>
      <c r="N7" s="95" t="s">
        <v>8</v>
      </c>
      <c r="O7" s="96" t="s">
        <v>9</v>
      </c>
      <c r="P7" s="97" t="s">
        <v>10</v>
      </c>
      <c r="Q7" s="246"/>
      <c r="R7" s="188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8" x14ac:dyDescent="0.25">
      <c r="A8" s="150">
        <v>46023</v>
      </c>
      <c r="B8" s="129"/>
      <c r="C8" s="130"/>
      <c r="D8" s="131"/>
      <c r="E8" s="132"/>
      <c r="F8" s="130"/>
      <c r="G8" s="131"/>
      <c r="H8" s="132"/>
      <c r="I8" s="130"/>
      <c r="J8" s="131"/>
      <c r="K8" s="132"/>
      <c r="L8" s="130"/>
      <c r="M8" s="131"/>
      <c r="N8" s="132"/>
      <c r="O8" s="130"/>
      <c r="P8" s="131"/>
      <c r="Q8" s="222" t="s">
        <v>83</v>
      </c>
      <c r="R8" s="223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8" x14ac:dyDescent="0.25">
      <c r="A9" s="99">
        <f t="shared" ref="A9:A21" si="0">A8+1</f>
        <v>46024</v>
      </c>
      <c r="B9" s="133"/>
      <c r="C9" s="134"/>
      <c r="D9" s="135"/>
      <c r="E9" s="136"/>
      <c r="F9" s="134"/>
      <c r="G9" s="135"/>
      <c r="H9" s="136"/>
      <c r="I9" s="134"/>
      <c r="J9" s="135"/>
      <c r="K9" s="136"/>
      <c r="L9" s="134"/>
      <c r="M9" s="135"/>
      <c r="N9" s="136"/>
      <c r="O9" s="134"/>
      <c r="P9" s="135"/>
      <c r="Q9" s="224"/>
      <c r="R9" s="191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3.8" x14ac:dyDescent="0.25">
      <c r="A10" s="100">
        <f t="shared" si="0"/>
        <v>46025</v>
      </c>
      <c r="B10" s="140"/>
      <c r="C10" s="137"/>
      <c r="D10" s="138"/>
      <c r="E10" s="139"/>
      <c r="F10" s="137"/>
      <c r="G10" s="138"/>
      <c r="H10" s="139"/>
      <c r="I10" s="137"/>
      <c r="J10" s="138"/>
      <c r="K10" s="139"/>
      <c r="L10" s="137"/>
      <c r="M10" s="138"/>
      <c r="N10" s="139"/>
      <c r="O10" s="137"/>
      <c r="P10" s="138"/>
      <c r="Q10" s="204"/>
      <c r="R10" s="191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8" x14ac:dyDescent="0.25">
      <c r="A11" s="100">
        <f t="shared" si="0"/>
        <v>46026</v>
      </c>
      <c r="B11" s="140"/>
      <c r="C11" s="137"/>
      <c r="D11" s="138"/>
      <c r="E11" s="139"/>
      <c r="F11" s="137"/>
      <c r="G11" s="138"/>
      <c r="H11" s="139"/>
      <c r="I11" s="137"/>
      <c r="J11" s="138"/>
      <c r="K11" s="139"/>
      <c r="L11" s="137"/>
      <c r="M11" s="138"/>
      <c r="N11" s="139"/>
      <c r="O11" s="137"/>
      <c r="P11" s="138"/>
      <c r="Q11" s="204"/>
      <c r="R11" s="191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8" x14ac:dyDescent="0.25">
      <c r="A12" s="100">
        <f t="shared" si="0"/>
        <v>46027</v>
      </c>
      <c r="B12" s="140"/>
      <c r="C12" s="137"/>
      <c r="D12" s="138"/>
      <c r="E12" s="139"/>
      <c r="F12" s="137"/>
      <c r="G12" s="138"/>
      <c r="H12" s="139"/>
      <c r="I12" s="137"/>
      <c r="J12" s="138"/>
      <c r="K12" s="139"/>
      <c r="L12" s="137"/>
      <c r="M12" s="138"/>
      <c r="N12" s="139"/>
      <c r="O12" s="137"/>
      <c r="P12" s="138"/>
      <c r="Q12" s="204"/>
      <c r="R12" s="191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8" x14ac:dyDescent="0.25">
      <c r="A13" s="100">
        <f t="shared" si="0"/>
        <v>46028</v>
      </c>
      <c r="B13" s="140"/>
      <c r="C13" s="137"/>
      <c r="D13" s="138"/>
      <c r="E13" s="139"/>
      <c r="F13" s="137"/>
      <c r="G13" s="138"/>
      <c r="H13" s="139"/>
      <c r="I13" s="137"/>
      <c r="J13" s="138"/>
      <c r="K13" s="139"/>
      <c r="L13" s="137"/>
      <c r="M13" s="138"/>
      <c r="N13" s="139"/>
      <c r="O13" s="137"/>
      <c r="P13" s="138"/>
      <c r="Q13" s="204"/>
      <c r="R13" s="191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8" x14ac:dyDescent="0.25">
      <c r="A14" s="100">
        <f t="shared" si="0"/>
        <v>46029</v>
      </c>
      <c r="B14" s="140"/>
      <c r="C14" s="137"/>
      <c r="D14" s="138"/>
      <c r="E14" s="139"/>
      <c r="F14" s="137"/>
      <c r="G14" s="138"/>
      <c r="H14" s="139"/>
      <c r="I14" s="137"/>
      <c r="J14" s="138"/>
      <c r="K14" s="139"/>
      <c r="L14" s="137"/>
      <c r="M14" s="138"/>
      <c r="N14" s="139"/>
      <c r="O14" s="137"/>
      <c r="P14" s="138"/>
      <c r="Q14" s="204"/>
      <c r="R14" s="191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8" x14ac:dyDescent="0.25">
      <c r="A15" s="100">
        <f t="shared" si="0"/>
        <v>46030</v>
      </c>
      <c r="B15" s="140"/>
      <c r="C15" s="137"/>
      <c r="D15" s="138"/>
      <c r="E15" s="139"/>
      <c r="F15" s="137"/>
      <c r="G15" s="138"/>
      <c r="H15" s="139"/>
      <c r="I15" s="137"/>
      <c r="J15" s="138"/>
      <c r="K15" s="139"/>
      <c r="L15" s="137"/>
      <c r="M15" s="138"/>
      <c r="N15" s="139"/>
      <c r="O15" s="137"/>
      <c r="P15" s="138"/>
      <c r="Q15" s="205"/>
      <c r="R15" s="191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8" x14ac:dyDescent="0.25">
      <c r="A16" s="100">
        <f t="shared" si="0"/>
        <v>46031</v>
      </c>
      <c r="B16" s="140"/>
      <c r="C16" s="137"/>
      <c r="D16" s="138"/>
      <c r="E16" s="139"/>
      <c r="F16" s="137"/>
      <c r="G16" s="138"/>
      <c r="H16" s="139"/>
      <c r="I16" s="137"/>
      <c r="J16" s="138"/>
      <c r="K16" s="139"/>
      <c r="L16" s="137"/>
      <c r="M16" s="138"/>
      <c r="N16" s="139"/>
      <c r="O16" s="137"/>
      <c r="P16" s="138"/>
      <c r="Q16" s="204"/>
      <c r="R16" s="191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4.4" x14ac:dyDescent="0.3">
      <c r="A17" s="100">
        <f t="shared" si="0"/>
        <v>46032</v>
      </c>
      <c r="B17" s="140"/>
      <c r="C17" s="137"/>
      <c r="D17" s="138"/>
      <c r="E17" s="139"/>
      <c r="F17" s="137"/>
      <c r="G17" s="138"/>
      <c r="H17" s="139"/>
      <c r="I17" s="137"/>
      <c r="J17" s="138"/>
      <c r="K17" s="139"/>
      <c r="L17" s="137"/>
      <c r="M17" s="138"/>
      <c r="N17" s="139"/>
      <c r="O17" s="137"/>
      <c r="P17" s="138"/>
      <c r="Q17" s="204"/>
      <c r="R17" s="191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4.4" x14ac:dyDescent="0.3">
      <c r="A18" s="100">
        <f t="shared" si="0"/>
        <v>46033</v>
      </c>
      <c r="B18" s="140"/>
      <c r="C18" s="137"/>
      <c r="D18" s="138"/>
      <c r="E18" s="139"/>
      <c r="F18" s="137"/>
      <c r="G18" s="138"/>
      <c r="H18" s="139"/>
      <c r="I18" s="137"/>
      <c r="J18" s="138"/>
      <c r="K18" s="139"/>
      <c r="L18" s="137"/>
      <c r="M18" s="138"/>
      <c r="N18" s="139"/>
      <c r="O18" s="137"/>
      <c r="P18" s="138"/>
      <c r="Q18" s="205"/>
      <c r="R18" s="191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4.4" x14ac:dyDescent="0.3">
      <c r="A19" s="100">
        <f t="shared" si="0"/>
        <v>46034</v>
      </c>
      <c r="B19" s="140"/>
      <c r="C19" s="137"/>
      <c r="D19" s="138"/>
      <c r="E19" s="139"/>
      <c r="F19" s="137"/>
      <c r="G19" s="138"/>
      <c r="H19" s="139"/>
      <c r="I19" s="137"/>
      <c r="J19" s="138"/>
      <c r="K19" s="139"/>
      <c r="L19" s="137"/>
      <c r="M19" s="138"/>
      <c r="N19" s="139"/>
      <c r="O19" s="137"/>
      <c r="P19" s="138"/>
      <c r="Q19" s="204"/>
      <c r="R19" s="191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4.4" x14ac:dyDescent="0.3">
      <c r="A20" s="100">
        <f t="shared" si="0"/>
        <v>46035</v>
      </c>
      <c r="B20" s="140"/>
      <c r="C20" s="137"/>
      <c r="D20" s="138"/>
      <c r="E20" s="139"/>
      <c r="F20" s="137"/>
      <c r="G20" s="138"/>
      <c r="H20" s="139"/>
      <c r="I20" s="137"/>
      <c r="J20" s="138"/>
      <c r="K20" s="139"/>
      <c r="L20" s="137"/>
      <c r="M20" s="138"/>
      <c r="N20" s="139"/>
      <c r="O20" s="137"/>
      <c r="P20" s="138"/>
      <c r="Q20" s="204"/>
      <c r="R20" s="191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100">
        <f t="shared" si="0"/>
        <v>46036</v>
      </c>
      <c r="B21" s="140"/>
      <c r="C21" s="137"/>
      <c r="D21" s="138"/>
      <c r="E21" s="139"/>
      <c r="F21" s="137"/>
      <c r="G21" s="138"/>
      <c r="H21" s="139"/>
      <c r="I21" s="137"/>
      <c r="J21" s="138"/>
      <c r="K21" s="139"/>
      <c r="L21" s="137"/>
      <c r="M21" s="138"/>
      <c r="N21" s="139"/>
      <c r="O21" s="137"/>
      <c r="P21" s="138"/>
      <c r="Q21" s="204"/>
      <c r="R21" s="191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" customHeight="1" thickBot="1" x14ac:dyDescent="0.3">
      <c r="A22" s="101">
        <f>A21+1</f>
        <v>46037</v>
      </c>
      <c r="B22" s="140"/>
      <c r="C22" s="154"/>
      <c r="D22" s="155"/>
      <c r="E22" s="156"/>
      <c r="F22" s="154"/>
      <c r="G22" s="155"/>
      <c r="H22" s="156"/>
      <c r="I22" s="154"/>
      <c r="J22" s="155"/>
      <c r="K22" s="156"/>
      <c r="L22" s="154"/>
      <c r="M22" s="155"/>
      <c r="N22" s="156"/>
      <c r="O22" s="154"/>
      <c r="P22" s="155"/>
      <c r="Q22" s="212"/>
      <c r="R22" s="213"/>
    </row>
    <row r="23" spans="1:29" ht="15.75" customHeight="1" x14ac:dyDescent="0.3">
      <c r="A23" s="102" t="s">
        <v>17</v>
      </c>
      <c r="B23" s="214">
        <f>SUM(B8:B22)</f>
        <v>0</v>
      </c>
      <c r="C23" s="207"/>
      <c r="D23" s="208"/>
      <c r="E23" s="214">
        <f t="shared" ref="E23" si="1">SUM(E8:E22)</f>
        <v>0</v>
      </c>
      <c r="F23" s="207"/>
      <c r="G23" s="208"/>
      <c r="H23" s="214">
        <f t="shared" ref="H23" si="2">SUM(H8:H22)</f>
        <v>0</v>
      </c>
      <c r="I23" s="207"/>
      <c r="J23" s="208"/>
      <c r="K23" s="214">
        <f t="shared" ref="K23" si="3">SUM(K8:K22)</f>
        <v>0</v>
      </c>
      <c r="L23" s="207"/>
      <c r="M23" s="208"/>
      <c r="N23" s="214">
        <f t="shared" ref="N23" si="4">SUM(N8:N22)</f>
        <v>0</v>
      </c>
      <c r="O23" s="207"/>
      <c r="P23" s="208"/>
      <c r="Q23" s="103" t="s">
        <v>18</v>
      </c>
      <c r="R23" s="104">
        <f t="shared" ref="R23:R25" si="5">SUM(B23:P23)</f>
        <v>0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25">
      <c r="A24" s="105" t="s">
        <v>20</v>
      </c>
      <c r="B24" s="192">
        <f>SUM(C8:C23)</f>
        <v>0</v>
      </c>
      <c r="C24" s="190"/>
      <c r="D24" s="191"/>
      <c r="E24" s="192">
        <f>SUM(F8:F23)</f>
        <v>0</v>
      </c>
      <c r="F24" s="190"/>
      <c r="G24" s="191"/>
      <c r="H24" s="192">
        <f>SUM(I8:I23)</f>
        <v>0</v>
      </c>
      <c r="I24" s="190"/>
      <c r="J24" s="191"/>
      <c r="K24" s="192">
        <f>SUM(L8:L23)</f>
        <v>0</v>
      </c>
      <c r="L24" s="190"/>
      <c r="M24" s="191"/>
      <c r="N24" s="192">
        <f>SUM(O8:O23)</f>
        <v>0</v>
      </c>
      <c r="O24" s="190"/>
      <c r="P24" s="191"/>
      <c r="Q24" s="106" t="s">
        <v>21</v>
      </c>
      <c r="R24" s="107">
        <f t="shared" si="5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thickBot="1" x14ac:dyDescent="0.3">
      <c r="A25" s="108" t="s">
        <v>22</v>
      </c>
      <c r="B25" s="181">
        <f>SUM(D8:D25)</f>
        <v>0</v>
      </c>
      <c r="C25" s="182"/>
      <c r="D25" s="185"/>
      <c r="E25" s="181">
        <f>SUM(G8:G25)</f>
        <v>0</v>
      </c>
      <c r="F25" s="182"/>
      <c r="G25" s="185"/>
      <c r="H25" s="181">
        <f>SUM(J8:J25)</f>
        <v>0</v>
      </c>
      <c r="I25" s="182"/>
      <c r="J25" s="185"/>
      <c r="K25" s="181">
        <f>SUM(M8:M25)</f>
        <v>0</v>
      </c>
      <c r="L25" s="182"/>
      <c r="M25" s="185"/>
      <c r="N25" s="181">
        <f>SUM(P8:P25)</f>
        <v>0</v>
      </c>
      <c r="O25" s="182"/>
      <c r="P25" s="185"/>
      <c r="Q25" s="109" t="s">
        <v>23</v>
      </c>
      <c r="R25" s="110">
        <f t="shared" si="5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100">
        <f>A22+1</f>
        <v>46038</v>
      </c>
      <c r="B26" s="151"/>
      <c r="C26" s="137"/>
      <c r="D26" s="138"/>
      <c r="E26" s="139"/>
      <c r="F26" s="137"/>
      <c r="G26" s="138"/>
      <c r="H26" s="139"/>
      <c r="I26" s="137"/>
      <c r="J26" s="138"/>
      <c r="K26" s="139"/>
      <c r="L26" s="137"/>
      <c r="M26" s="138"/>
      <c r="N26" s="139"/>
      <c r="O26" s="137"/>
      <c r="P26" s="138"/>
      <c r="Q26" s="217"/>
      <c r="R26" s="218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100">
        <f t="shared" ref="A27:A41" si="6">A26+1</f>
        <v>46039</v>
      </c>
      <c r="B27" s="151"/>
      <c r="C27" s="137"/>
      <c r="D27" s="138"/>
      <c r="E27" s="139"/>
      <c r="F27" s="137"/>
      <c r="G27" s="138"/>
      <c r="H27" s="139"/>
      <c r="I27" s="137"/>
      <c r="J27" s="138"/>
      <c r="K27" s="139"/>
      <c r="L27" s="137"/>
      <c r="M27" s="138"/>
      <c r="N27" s="139"/>
      <c r="O27" s="137"/>
      <c r="P27" s="138"/>
      <c r="Q27" s="219"/>
      <c r="R27" s="220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100">
        <f t="shared" si="6"/>
        <v>46040</v>
      </c>
      <c r="B28" s="151"/>
      <c r="C28" s="137"/>
      <c r="D28" s="138"/>
      <c r="E28" s="139"/>
      <c r="F28" s="137"/>
      <c r="G28" s="138"/>
      <c r="H28" s="139"/>
      <c r="I28" s="137"/>
      <c r="J28" s="138"/>
      <c r="K28" s="139"/>
      <c r="L28" s="137"/>
      <c r="M28" s="138"/>
      <c r="N28" s="139"/>
      <c r="O28" s="137"/>
      <c r="P28" s="138"/>
      <c r="Q28" s="204"/>
      <c r="R28" s="191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100">
        <f t="shared" si="6"/>
        <v>46041</v>
      </c>
      <c r="B29" s="151"/>
      <c r="C29" s="137"/>
      <c r="D29" s="138"/>
      <c r="E29" s="139"/>
      <c r="F29" s="137"/>
      <c r="G29" s="138"/>
      <c r="H29" s="139"/>
      <c r="I29" s="137"/>
      <c r="J29" s="138"/>
      <c r="K29" s="139"/>
      <c r="L29" s="137"/>
      <c r="M29" s="138"/>
      <c r="N29" s="139"/>
      <c r="O29" s="137"/>
      <c r="P29" s="138"/>
      <c r="Q29" s="212" t="s">
        <v>16</v>
      </c>
      <c r="R29" s="213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100">
        <f t="shared" si="6"/>
        <v>46042</v>
      </c>
      <c r="B30" s="151"/>
      <c r="C30" s="137"/>
      <c r="D30" s="138"/>
      <c r="E30" s="139"/>
      <c r="F30" s="137"/>
      <c r="G30" s="138"/>
      <c r="H30" s="139"/>
      <c r="I30" s="137"/>
      <c r="J30" s="138"/>
      <c r="K30" s="139"/>
      <c r="L30" s="137"/>
      <c r="M30" s="138"/>
      <c r="N30" s="139"/>
      <c r="O30" s="137"/>
      <c r="P30" s="138"/>
      <c r="Q30" s="221"/>
      <c r="R30" s="191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100">
        <f t="shared" si="6"/>
        <v>46043</v>
      </c>
      <c r="B31" s="151"/>
      <c r="C31" s="137"/>
      <c r="D31" s="138"/>
      <c r="E31" s="139"/>
      <c r="F31" s="137"/>
      <c r="G31" s="138"/>
      <c r="H31" s="139"/>
      <c r="I31" s="137"/>
      <c r="J31" s="138"/>
      <c r="K31" s="139"/>
      <c r="L31" s="137"/>
      <c r="M31" s="138"/>
      <c r="N31" s="139"/>
      <c r="O31" s="137"/>
      <c r="P31" s="138"/>
      <c r="Q31" s="221"/>
      <c r="R31" s="191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100">
        <f t="shared" si="6"/>
        <v>46044</v>
      </c>
      <c r="B32" s="151"/>
      <c r="C32" s="137"/>
      <c r="D32" s="138"/>
      <c r="E32" s="139"/>
      <c r="F32" s="137"/>
      <c r="G32" s="138"/>
      <c r="H32" s="139"/>
      <c r="I32" s="137"/>
      <c r="J32" s="138"/>
      <c r="K32" s="139"/>
      <c r="L32" s="137"/>
      <c r="M32" s="138"/>
      <c r="N32" s="139"/>
      <c r="O32" s="137"/>
      <c r="P32" s="138"/>
      <c r="Q32" s="204"/>
      <c r="R32" s="191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100">
        <f t="shared" si="6"/>
        <v>46045</v>
      </c>
      <c r="B33" s="151"/>
      <c r="C33" s="137"/>
      <c r="D33" s="138"/>
      <c r="E33" s="139"/>
      <c r="F33" s="137"/>
      <c r="G33" s="138"/>
      <c r="H33" s="139"/>
      <c r="I33" s="137"/>
      <c r="J33" s="138"/>
      <c r="K33" s="139"/>
      <c r="L33" s="137"/>
      <c r="M33" s="138"/>
      <c r="N33" s="139"/>
      <c r="O33" s="137"/>
      <c r="P33" s="138"/>
      <c r="Q33" s="205"/>
      <c r="R33" s="191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100">
        <f t="shared" si="6"/>
        <v>46046</v>
      </c>
      <c r="B34" s="151"/>
      <c r="C34" s="137"/>
      <c r="D34" s="138"/>
      <c r="E34" s="139"/>
      <c r="F34" s="137"/>
      <c r="G34" s="138"/>
      <c r="H34" s="139"/>
      <c r="I34" s="137"/>
      <c r="J34" s="138"/>
      <c r="K34" s="139"/>
      <c r="L34" s="137"/>
      <c r="M34" s="138"/>
      <c r="N34" s="139"/>
      <c r="O34" s="137"/>
      <c r="P34" s="138"/>
      <c r="Q34" s="204"/>
      <c r="R34" s="191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100">
        <f t="shared" si="6"/>
        <v>46047</v>
      </c>
      <c r="B35" s="151"/>
      <c r="C35" s="137"/>
      <c r="D35" s="138"/>
      <c r="E35" s="139"/>
      <c r="F35" s="137"/>
      <c r="G35" s="138"/>
      <c r="H35" s="139"/>
      <c r="I35" s="137"/>
      <c r="J35" s="138"/>
      <c r="K35" s="139"/>
      <c r="L35" s="137"/>
      <c r="M35" s="138"/>
      <c r="N35" s="139"/>
      <c r="O35" s="137"/>
      <c r="P35" s="138"/>
      <c r="Q35" s="204"/>
      <c r="R35" s="191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100">
        <f t="shared" si="6"/>
        <v>46048</v>
      </c>
      <c r="B36" s="151"/>
      <c r="C36" s="137"/>
      <c r="D36" s="138"/>
      <c r="E36" s="139"/>
      <c r="F36" s="137"/>
      <c r="G36" s="138"/>
      <c r="H36" s="139"/>
      <c r="I36" s="137"/>
      <c r="J36" s="138"/>
      <c r="K36" s="139"/>
      <c r="L36" s="137"/>
      <c r="M36" s="138"/>
      <c r="N36" s="139"/>
      <c r="O36" s="137"/>
      <c r="P36" s="138"/>
      <c r="Q36" s="205"/>
      <c r="R36" s="191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100">
        <f t="shared" si="6"/>
        <v>46049</v>
      </c>
      <c r="B37" s="151"/>
      <c r="C37" s="137"/>
      <c r="D37" s="138"/>
      <c r="E37" s="139"/>
      <c r="F37" s="137"/>
      <c r="G37" s="138"/>
      <c r="H37" s="139"/>
      <c r="I37" s="137"/>
      <c r="J37" s="138"/>
      <c r="K37" s="139"/>
      <c r="L37" s="137"/>
      <c r="M37" s="138"/>
      <c r="N37" s="139"/>
      <c r="O37" s="137"/>
      <c r="P37" s="138"/>
      <c r="Q37" s="204"/>
      <c r="R37" s="191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100">
        <f t="shared" si="6"/>
        <v>46050</v>
      </c>
      <c r="B38" s="151"/>
      <c r="C38" s="137"/>
      <c r="D38" s="138"/>
      <c r="E38" s="139"/>
      <c r="F38" s="137"/>
      <c r="G38" s="138"/>
      <c r="H38" s="139"/>
      <c r="I38" s="137"/>
      <c r="J38" s="138"/>
      <c r="K38" s="139"/>
      <c r="L38" s="137"/>
      <c r="M38" s="138"/>
      <c r="N38" s="139"/>
      <c r="O38" s="137"/>
      <c r="P38" s="138"/>
      <c r="Q38" s="204"/>
      <c r="R38" s="191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100">
        <f t="shared" si="6"/>
        <v>46051</v>
      </c>
      <c r="B39" s="151"/>
      <c r="C39" s="137"/>
      <c r="D39" s="138"/>
      <c r="E39" s="139"/>
      <c r="F39" s="137"/>
      <c r="G39" s="138"/>
      <c r="H39" s="139"/>
      <c r="I39" s="137"/>
      <c r="J39" s="138"/>
      <c r="K39" s="139"/>
      <c r="L39" s="137"/>
      <c r="M39" s="138"/>
      <c r="N39" s="139"/>
      <c r="O39" s="137"/>
      <c r="P39" s="138"/>
      <c r="Q39" s="204"/>
      <c r="R39" s="191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x14ac:dyDescent="0.25">
      <c r="A40" s="100">
        <f t="shared" si="6"/>
        <v>46052</v>
      </c>
      <c r="B40" s="151"/>
      <c r="C40" s="137"/>
      <c r="D40" s="138"/>
      <c r="E40" s="139"/>
      <c r="F40" s="137"/>
      <c r="G40" s="138"/>
      <c r="H40" s="139"/>
      <c r="I40" s="137"/>
      <c r="J40" s="138"/>
      <c r="K40" s="139"/>
      <c r="L40" s="137"/>
      <c r="M40" s="138"/>
      <c r="N40" s="139"/>
      <c r="O40" s="137"/>
      <c r="P40" s="138"/>
      <c r="Q40" s="204"/>
      <c r="R40" s="191"/>
      <c r="S40" s="6"/>
      <c r="T40" s="6"/>
      <c r="U40" s="38"/>
      <c r="V40" s="38"/>
      <c r="W40" s="6"/>
      <c r="X40" s="6"/>
      <c r="Y40" s="6"/>
      <c r="Z40" s="6"/>
      <c r="AA40" s="6"/>
      <c r="AB40" s="6"/>
      <c r="AC40" s="6"/>
    </row>
    <row r="41" spans="1:29" ht="15.75" customHeight="1" x14ac:dyDescent="0.25">
      <c r="A41" s="100">
        <f t="shared" si="6"/>
        <v>46053</v>
      </c>
      <c r="B41" s="151"/>
      <c r="C41" s="154"/>
      <c r="D41" s="155"/>
      <c r="E41" s="156"/>
      <c r="F41" s="154"/>
      <c r="G41" s="155"/>
      <c r="H41" s="156"/>
      <c r="I41" s="154"/>
      <c r="J41" s="155"/>
      <c r="K41" s="156"/>
      <c r="L41" s="154"/>
      <c r="M41" s="155"/>
      <c r="N41" s="156"/>
      <c r="O41" s="154"/>
      <c r="P41" s="155"/>
      <c r="Q41" s="212"/>
      <c r="R41" s="213"/>
      <c r="S41" s="6"/>
      <c r="T41" s="6"/>
      <c r="U41" s="38"/>
      <c r="V41" s="38"/>
      <c r="W41" s="6"/>
      <c r="X41" s="6"/>
      <c r="Y41" s="6"/>
      <c r="Z41" s="6"/>
      <c r="AA41" s="6"/>
      <c r="AB41" s="6"/>
      <c r="AC41" s="6"/>
    </row>
    <row r="42" spans="1:29" ht="15.75" customHeight="1" x14ac:dyDescent="0.25">
      <c r="A42" s="111" t="s">
        <v>24</v>
      </c>
      <c r="B42" s="206">
        <f>SUM(B26:B41)</f>
        <v>0</v>
      </c>
      <c r="C42" s="207"/>
      <c r="D42" s="208"/>
      <c r="E42" s="214">
        <f>SUM(E26:E41)</f>
        <v>0</v>
      </c>
      <c r="F42" s="207"/>
      <c r="G42" s="215"/>
      <c r="H42" s="206">
        <f>SUM(H26:H41)</f>
        <v>0</v>
      </c>
      <c r="I42" s="207"/>
      <c r="J42" s="208"/>
      <c r="K42" s="214">
        <f>SUM(K26:K41)</f>
        <v>0</v>
      </c>
      <c r="L42" s="207"/>
      <c r="M42" s="215"/>
      <c r="N42" s="214">
        <f>SUM(N26:N41)</f>
        <v>0</v>
      </c>
      <c r="O42" s="207"/>
      <c r="P42" s="215"/>
      <c r="Q42" s="103" t="s">
        <v>18</v>
      </c>
      <c r="R42" s="112">
        <f t="shared" ref="R42:R44" si="7">SUM(B42:P42)</f>
        <v>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x14ac:dyDescent="0.25">
      <c r="A43" s="113" t="s">
        <v>25</v>
      </c>
      <c r="B43" s="189">
        <f>SUM(C26:C42)</f>
        <v>0</v>
      </c>
      <c r="C43" s="190"/>
      <c r="D43" s="191"/>
      <c r="E43" s="192">
        <f>SUM(F26:F42)</f>
        <v>0</v>
      </c>
      <c r="F43" s="190"/>
      <c r="G43" s="216"/>
      <c r="H43" s="189">
        <f>SUM(I26:I42)</f>
        <v>0</v>
      </c>
      <c r="I43" s="190"/>
      <c r="J43" s="191"/>
      <c r="K43" s="192">
        <f>SUM(L26:L42)</f>
        <v>0</v>
      </c>
      <c r="L43" s="190"/>
      <c r="M43" s="216"/>
      <c r="N43" s="192">
        <f>SUM(O26:O42)</f>
        <v>0</v>
      </c>
      <c r="O43" s="190"/>
      <c r="P43" s="216"/>
      <c r="Q43" s="106" t="s">
        <v>26</v>
      </c>
      <c r="R43" s="114">
        <f t="shared" si="7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15.75" customHeight="1" thickBot="1" x14ac:dyDescent="0.3">
      <c r="A44" s="115" t="s">
        <v>27</v>
      </c>
      <c r="B44" s="184">
        <f>SUM(D26:D41)</f>
        <v>0</v>
      </c>
      <c r="C44" s="182"/>
      <c r="D44" s="185"/>
      <c r="E44" s="181">
        <f>SUM(G26:G41)</f>
        <v>0</v>
      </c>
      <c r="F44" s="182"/>
      <c r="G44" s="183"/>
      <c r="H44" s="184">
        <f>SUM(J26:J41)</f>
        <v>0</v>
      </c>
      <c r="I44" s="182"/>
      <c r="J44" s="185"/>
      <c r="K44" s="181">
        <f>SUM(M26:M41)</f>
        <v>0</v>
      </c>
      <c r="L44" s="182"/>
      <c r="M44" s="183"/>
      <c r="N44" s="181">
        <f>SUM(P26:P41)</f>
        <v>0</v>
      </c>
      <c r="O44" s="182"/>
      <c r="P44" s="183"/>
      <c r="Q44" s="109" t="s">
        <v>23</v>
      </c>
      <c r="R44" s="116">
        <f t="shared" si="7"/>
        <v>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21" hidden="1" customHeight="1" x14ac:dyDescent="0.25">
      <c r="A45" s="157"/>
      <c r="B45" s="186" t="str">
        <f>IF(ISBLANK(B6),"",B6)</f>
        <v/>
      </c>
      <c r="C45" s="187"/>
      <c r="D45" s="188"/>
      <c r="E45" s="186" t="str">
        <f>IF(ISBLANK(E6),"",E6)</f>
        <v/>
      </c>
      <c r="F45" s="187"/>
      <c r="G45" s="188"/>
      <c r="H45" s="186" t="str">
        <f>IF(ISBLANK(H6),"",H6)</f>
        <v/>
      </c>
      <c r="I45" s="187"/>
      <c r="J45" s="188"/>
      <c r="K45" s="186" t="str">
        <f>IF(ISBLANK(K6),"",K6)</f>
        <v/>
      </c>
      <c r="L45" s="187"/>
      <c r="M45" s="188"/>
      <c r="N45" s="186" t="str">
        <f>IF(ISBLANK(N6),"",N6)</f>
        <v/>
      </c>
      <c r="O45" s="187"/>
      <c r="P45" s="188"/>
      <c r="Q45" s="179"/>
      <c r="R45" s="180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25">
      <c r="A46" s="117" t="s">
        <v>28</v>
      </c>
      <c r="B46" s="206">
        <f>B23+B42</f>
        <v>0</v>
      </c>
      <c r="C46" s="207"/>
      <c r="D46" s="208"/>
      <c r="E46" s="209">
        <f>E23+E42</f>
        <v>0</v>
      </c>
      <c r="F46" s="210"/>
      <c r="G46" s="211"/>
      <c r="H46" s="209">
        <f>H23+H42</f>
        <v>0</v>
      </c>
      <c r="I46" s="210"/>
      <c r="J46" s="211"/>
      <c r="K46" s="209">
        <f>K23+K42</f>
        <v>0</v>
      </c>
      <c r="L46" s="210"/>
      <c r="M46" s="211"/>
      <c r="N46" s="209">
        <f>N23+N42</f>
        <v>0</v>
      </c>
      <c r="O46" s="210"/>
      <c r="P46" s="211"/>
      <c r="Q46" s="103" t="s">
        <v>18</v>
      </c>
      <c r="R46" s="112">
        <f t="shared" ref="R46:R48" si="8">SUM(B46:P46)</f>
        <v>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x14ac:dyDescent="0.25">
      <c r="A47" s="105" t="s">
        <v>29</v>
      </c>
      <c r="B47" s="192">
        <f>B24+B43</f>
        <v>0</v>
      </c>
      <c r="C47" s="190"/>
      <c r="D47" s="191"/>
      <c r="E47" s="189">
        <f>E24+E43</f>
        <v>0</v>
      </c>
      <c r="F47" s="190"/>
      <c r="G47" s="191"/>
      <c r="H47" s="189">
        <f>H24+H43</f>
        <v>0</v>
      </c>
      <c r="I47" s="190"/>
      <c r="J47" s="191"/>
      <c r="K47" s="189">
        <f>K24+K43</f>
        <v>0</v>
      </c>
      <c r="L47" s="190"/>
      <c r="M47" s="191"/>
      <c r="N47" s="189">
        <f>N24+N43</f>
        <v>0</v>
      </c>
      <c r="O47" s="190"/>
      <c r="P47" s="191"/>
      <c r="Q47" s="106" t="s">
        <v>26</v>
      </c>
      <c r="R47" s="114">
        <f t="shared" si="8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15.75" customHeight="1" thickBot="1" x14ac:dyDescent="0.3">
      <c r="A48" s="118" t="s">
        <v>30</v>
      </c>
      <c r="B48" s="181">
        <f>B25+B44</f>
        <v>0</v>
      </c>
      <c r="C48" s="182"/>
      <c r="D48" s="185"/>
      <c r="E48" s="184">
        <f>E25+E44</f>
        <v>0</v>
      </c>
      <c r="F48" s="182"/>
      <c r="G48" s="185"/>
      <c r="H48" s="184">
        <f>H25+H44</f>
        <v>0</v>
      </c>
      <c r="I48" s="182"/>
      <c r="J48" s="185"/>
      <c r="K48" s="184">
        <f>K25+K44</f>
        <v>0</v>
      </c>
      <c r="L48" s="182"/>
      <c r="M48" s="185"/>
      <c r="N48" s="184">
        <f>N25+N44</f>
        <v>0</v>
      </c>
      <c r="O48" s="182"/>
      <c r="P48" s="185"/>
      <c r="Q48" s="109" t="s">
        <v>23</v>
      </c>
      <c r="R48" s="116">
        <f t="shared" si="8"/>
        <v>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7.5" hidden="1" customHeight="1" x14ac:dyDescent="0.25">
      <c r="A49" s="119"/>
      <c r="B49" s="186" t="str">
        <f>IF(ISBLANK(B10),"",B10)</f>
        <v/>
      </c>
      <c r="C49" s="187"/>
      <c r="D49" s="188"/>
      <c r="E49" s="186" t="str">
        <f>IF(ISBLANK(E10),"",E10)</f>
        <v/>
      </c>
      <c r="F49" s="187"/>
      <c r="G49" s="188"/>
      <c r="H49" s="186" t="str">
        <f>IF(ISBLANK(H10),"",H10)</f>
        <v/>
      </c>
      <c r="I49" s="187"/>
      <c r="J49" s="188"/>
      <c r="K49" s="186" t="str">
        <f>IF(ISBLANK(K10),"",K10)</f>
        <v/>
      </c>
      <c r="L49" s="187"/>
      <c r="M49" s="188"/>
      <c r="N49" s="186" t="str">
        <f>IF(ISBLANK(N10),"",N10)</f>
        <v/>
      </c>
      <c r="O49" s="187"/>
      <c r="P49" s="188"/>
      <c r="Q49" s="179"/>
      <c r="R49" s="180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thickBot="1" x14ac:dyDescent="0.3">
      <c r="A50" s="158" t="s">
        <v>31</v>
      </c>
      <c r="B50" s="203">
        <f>SUM(B46:D48)</f>
        <v>0</v>
      </c>
      <c r="C50" s="187"/>
      <c r="D50" s="188"/>
      <c r="E50" s="198">
        <f>SUM(E46:G48)</f>
        <v>0</v>
      </c>
      <c r="F50" s="196"/>
      <c r="G50" s="197"/>
      <c r="H50" s="198">
        <f>SUM(H46:J48)</f>
        <v>0</v>
      </c>
      <c r="I50" s="196"/>
      <c r="J50" s="197"/>
      <c r="K50" s="198">
        <f>SUM(K46:M48)</f>
        <v>0</v>
      </c>
      <c r="L50" s="196"/>
      <c r="M50" s="197"/>
      <c r="N50" s="198">
        <f>SUM(N46:P48)</f>
        <v>0</v>
      </c>
      <c r="O50" s="196"/>
      <c r="P50" s="197"/>
      <c r="Q50" s="198">
        <f t="shared" ref="Q50:Q51" si="9">SUM(B50:P50)</f>
        <v>0</v>
      </c>
      <c r="R50" s="197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thickBot="1" x14ac:dyDescent="0.3">
      <c r="A51" s="120" t="s">
        <v>32</v>
      </c>
      <c r="B51" s="195">
        <f>(B46+B48)/((NETWORKDAYS($P$1,EOMONTH($P$1,0), HO))*8)</f>
        <v>0</v>
      </c>
      <c r="C51" s="196"/>
      <c r="D51" s="197"/>
      <c r="E51" s="195">
        <f>(E46+E48)/((NETWORKDAYS($P$1,EOMONTH($P$1,0), HO))*8)</f>
        <v>0</v>
      </c>
      <c r="F51" s="196"/>
      <c r="G51" s="197"/>
      <c r="H51" s="195">
        <f>(H46+H48)/((NETWORKDAYS($P$1,EOMONTH($P$1,0), HO))*8)</f>
        <v>0</v>
      </c>
      <c r="I51" s="196"/>
      <c r="J51" s="197"/>
      <c r="K51" s="195">
        <f>(K46+K48)/((NETWORKDAYS($P$1,EOMONTH($P$1,0), HO))*8)</f>
        <v>0</v>
      </c>
      <c r="L51" s="196"/>
      <c r="M51" s="197"/>
      <c r="N51" s="195">
        <f>(N46+N48)/((NETWORKDAYS($P$1,EOMONTH($P$1,0), HO))*8)</f>
        <v>0</v>
      </c>
      <c r="O51" s="196"/>
      <c r="P51" s="197"/>
      <c r="Q51" s="195">
        <f t="shared" si="9"/>
        <v>0</v>
      </c>
      <c r="R51" s="197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15.75" customHeight="1" x14ac:dyDescent="0.25">
      <c r="A52" s="120" t="s">
        <v>33</v>
      </c>
      <c r="B52" s="198">
        <f>R46+R48</f>
        <v>0</v>
      </c>
      <c r="C52" s="196"/>
      <c r="D52" s="197"/>
      <c r="E52" s="195" t="s">
        <v>21</v>
      </c>
      <c r="F52" s="196"/>
      <c r="G52" s="197"/>
      <c r="H52" s="198">
        <f>R47</f>
        <v>0</v>
      </c>
      <c r="I52" s="196"/>
      <c r="J52" s="197"/>
      <c r="K52" s="198">
        <f>R47</f>
        <v>0</v>
      </c>
      <c r="L52" s="196"/>
      <c r="M52" s="197"/>
      <c r="N52" s="195" t="s">
        <v>34</v>
      </c>
      <c r="O52" s="196"/>
      <c r="P52" s="197"/>
      <c r="Q52" s="198">
        <f>B52+H52</f>
        <v>0</v>
      </c>
      <c r="R52" s="197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24.75" customHeight="1" x14ac:dyDescent="0.25">
      <c r="A53" s="199" t="s">
        <v>35</v>
      </c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34.5" customHeight="1" x14ac:dyDescent="0.25">
      <c r="A54" s="201" t="s">
        <v>36</v>
      </c>
      <c r="B54" s="201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202" t="s">
        <v>37</v>
      </c>
      <c r="P54" s="202"/>
      <c r="Q54" s="152"/>
      <c r="R54" s="152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121"/>
      <c r="B55" s="90"/>
      <c r="C55" s="90"/>
      <c r="D55" s="91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15.75" customHeight="1" x14ac:dyDescent="0.25">
      <c r="A56" s="193" t="s">
        <v>38</v>
      </c>
      <c r="B56" s="194"/>
      <c r="C56" s="125"/>
      <c r="D56" s="126"/>
      <c r="E56" s="38"/>
      <c r="F56" s="127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23.25" customHeight="1" x14ac:dyDescent="0.25">
      <c r="A57" s="193" t="s">
        <v>39</v>
      </c>
      <c r="B57" s="194"/>
      <c r="C57" s="123"/>
      <c r="D57" s="124"/>
      <c r="E57" s="123"/>
      <c r="F57" s="12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122"/>
      <c r="B58" s="38"/>
      <c r="C58" s="38"/>
      <c r="D58" s="52"/>
      <c r="E58" s="38"/>
      <c r="F58" s="127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spans="1:29" ht="15.75" customHeight="1" x14ac:dyDescent="0.25">
      <c r="A257" s="51"/>
      <c r="B257" s="38"/>
      <c r="C257" s="38"/>
      <c r="D257" s="52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spans="1:29" ht="15.75" customHeight="1" x14ac:dyDescent="0.25"/>
    <row r="259" spans="1:29" ht="15.75" customHeight="1" x14ac:dyDescent="0.25"/>
    <row r="260" spans="1:29" ht="15.75" customHeight="1" x14ac:dyDescent="0.25"/>
    <row r="261" spans="1:29" ht="15.75" customHeight="1" x14ac:dyDescent="0.25"/>
    <row r="262" spans="1:29" ht="15.75" customHeight="1" x14ac:dyDescent="0.25"/>
    <row r="263" spans="1:29" ht="15.75" customHeight="1" x14ac:dyDescent="0.25"/>
    <row r="264" spans="1:29" ht="15.75" customHeight="1" x14ac:dyDescent="0.25"/>
    <row r="265" spans="1:29" ht="15.75" customHeight="1" x14ac:dyDescent="0.25"/>
    <row r="266" spans="1:29" ht="15.75" customHeight="1" x14ac:dyDescent="0.25"/>
    <row r="267" spans="1:29" ht="15.75" customHeight="1" x14ac:dyDescent="0.25"/>
    <row r="268" spans="1:29" ht="15.75" customHeight="1" x14ac:dyDescent="0.25"/>
    <row r="269" spans="1:29" ht="15.75" customHeight="1" x14ac:dyDescent="0.25"/>
    <row r="270" spans="1:29" ht="15.75" customHeight="1" x14ac:dyDescent="0.25"/>
    <row r="271" spans="1:29" ht="15.75" customHeight="1" x14ac:dyDescent="0.25"/>
    <row r="272" spans="1:2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34">
    <mergeCell ref="C2:R2"/>
    <mergeCell ref="A1:B1"/>
    <mergeCell ref="C1:O1"/>
    <mergeCell ref="P1:R1"/>
    <mergeCell ref="A2:B2"/>
    <mergeCell ref="C3:R3"/>
    <mergeCell ref="B5:D5"/>
    <mergeCell ref="E5:G5"/>
    <mergeCell ref="H5:J5"/>
    <mergeCell ref="K5:M5"/>
    <mergeCell ref="B4:D4"/>
    <mergeCell ref="Q4:R7"/>
    <mergeCell ref="B6:D6"/>
    <mergeCell ref="E6:G6"/>
    <mergeCell ref="H6:J6"/>
    <mergeCell ref="K6:M6"/>
    <mergeCell ref="N6:P6"/>
    <mergeCell ref="A3:B3"/>
    <mergeCell ref="E4:G4"/>
    <mergeCell ref="H4:J4"/>
    <mergeCell ref="K4:M4"/>
    <mergeCell ref="N4:P4"/>
    <mergeCell ref="N5:P5"/>
    <mergeCell ref="Q8:R8"/>
    <mergeCell ref="Q9:R9"/>
    <mergeCell ref="Q10:R10"/>
    <mergeCell ref="Q11:R11"/>
    <mergeCell ref="Q12:R12"/>
    <mergeCell ref="Q13:R13"/>
    <mergeCell ref="Q14:R14"/>
    <mergeCell ref="E24:G24"/>
    <mergeCell ref="H24:J24"/>
    <mergeCell ref="Q15:R15"/>
    <mergeCell ref="Q16:R16"/>
    <mergeCell ref="Q17:R17"/>
    <mergeCell ref="Q18:R18"/>
    <mergeCell ref="Q19:R19"/>
    <mergeCell ref="Q20:R20"/>
    <mergeCell ref="Q21:R21"/>
    <mergeCell ref="B25:D25"/>
    <mergeCell ref="E25:G25"/>
    <mergeCell ref="H25:J25"/>
    <mergeCell ref="K24:M24"/>
    <mergeCell ref="N24:P24"/>
    <mergeCell ref="K25:M25"/>
    <mergeCell ref="N25:P25"/>
    <mergeCell ref="Q22:R22"/>
    <mergeCell ref="B23:D23"/>
    <mergeCell ref="E23:G23"/>
    <mergeCell ref="H23:J23"/>
    <mergeCell ref="K23:M23"/>
    <mergeCell ref="N23:P23"/>
    <mergeCell ref="B24:D24"/>
    <mergeCell ref="N43:P43"/>
    <mergeCell ref="Q26:R26"/>
    <mergeCell ref="Q27:R27"/>
    <mergeCell ref="Q28:R28"/>
    <mergeCell ref="Q29:R29"/>
    <mergeCell ref="Q31:R31"/>
    <mergeCell ref="Q32:R32"/>
    <mergeCell ref="Q33:R33"/>
    <mergeCell ref="Q34:R34"/>
    <mergeCell ref="Q30:R30"/>
    <mergeCell ref="N49:P49"/>
    <mergeCell ref="Q35:R35"/>
    <mergeCell ref="Q36:R36"/>
    <mergeCell ref="Q37:R37"/>
    <mergeCell ref="Q38:R38"/>
    <mergeCell ref="Q39:R39"/>
    <mergeCell ref="B46:D46"/>
    <mergeCell ref="E46:G46"/>
    <mergeCell ref="H46:J46"/>
    <mergeCell ref="K46:M46"/>
    <mergeCell ref="N46:P46"/>
    <mergeCell ref="Q40:R40"/>
    <mergeCell ref="Q41:R41"/>
    <mergeCell ref="B42:D42"/>
    <mergeCell ref="E42:G42"/>
    <mergeCell ref="H42:J42"/>
    <mergeCell ref="K42:M42"/>
    <mergeCell ref="N42:P42"/>
    <mergeCell ref="H44:J44"/>
    <mergeCell ref="K44:M44"/>
    <mergeCell ref="B43:D43"/>
    <mergeCell ref="E43:G43"/>
    <mergeCell ref="H43:J43"/>
    <mergeCell ref="K43:M43"/>
    <mergeCell ref="B50:D50"/>
    <mergeCell ref="E50:G50"/>
    <mergeCell ref="H50:J50"/>
    <mergeCell ref="K50:M50"/>
    <mergeCell ref="N50:P50"/>
    <mergeCell ref="Q50:R50"/>
    <mergeCell ref="B51:D51"/>
    <mergeCell ref="Q51:R51"/>
    <mergeCell ref="B52:D52"/>
    <mergeCell ref="A56:B56"/>
    <mergeCell ref="A57:B57"/>
    <mergeCell ref="E51:G51"/>
    <mergeCell ref="H51:J51"/>
    <mergeCell ref="E52:G52"/>
    <mergeCell ref="H52:J52"/>
    <mergeCell ref="A53:R53"/>
    <mergeCell ref="K51:M51"/>
    <mergeCell ref="N51:P51"/>
    <mergeCell ref="K52:M52"/>
    <mergeCell ref="N52:P52"/>
    <mergeCell ref="Q52:R52"/>
    <mergeCell ref="A54:B54"/>
    <mergeCell ref="O54:P54"/>
    <mergeCell ref="Q49:R49"/>
    <mergeCell ref="E44:G44"/>
    <mergeCell ref="N44:P44"/>
    <mergeCell ref="B44:D44"/>
    <mergeCell ref="B45:D45"/>
    <mergeCell ref="E45:G45"/>
    <mergeCell ref="H45:J45"/>
    <mergeCell ref="K45:M45"/>
    <mergeCell ref="N45:P45"/>
    <mergeCell ref="Q45:R45"/>
    <mergeCell ref="E47:G47"/>
    <mergeCell ref="N47:P47"/>
    <mergeCell ref="B47:D47"/>
    <mergeCell ref="B48:D48"/>
    <mergeCell ref="E48:G48"/>
    <mergeCell ref="H48:J48"/>
    <mergeCell ref="K48:M48"/>
    <mergeCell ref="N48:P48"/>
    <mergeCell ref="B49:D49"/>
    <mergeCell ref="H47:J47"/>
    <mergeCell ref="K47:M47"/>
    <mergeCell ref="E49:G49"/>
    <mergeCell ref="H49:J49"/>
    <mergeCell ref="K49:M49"/>
  </mergeCells>
  <conditionalFormatting sqref="B23 E23 H23 K23 N23 K42:N42">
    <cfRule type="cellIs" dxfId="1299" priority="7" operator="greaterThan">
      <formula>0</formula>
    </cfRule>
  </conditionalFormatting>
  <conditionalFormatting sqref="B24 K43:N43">
    <cfRule type="cellIs" dxfId="1298" priority="4" operator="greaterThan">
      <formula>1</formula>
    </cfRule>
  </conditionalFormatting>
  <conditionalFormatting sqref="B24:B25 K44:N44">
    <cfRule type="cellIs" dxfId="1297" priority="6" operator="greaterThan">
      <formula>0</formula>
    </cfRule>
  </conditionalFormatting>
  <conditionalFormatting sqref="B42">
    <cfRule type="cellIs" dxfId="1296" priority="20" operator="greaterThan">
      <formula>0</formula>
    </cfRule>
  </conditionalFormatting>
  <conditionalFormatting sqref="B43">
    <cfRule type="cellIs" dxfId="1295" priority="77" operator="greaterThan">
      <formula>1</formula>
    </cfRule>
    <cfRule type="cellIs" dxfId="1294" priority="17" operator="greaterThan">
      <formula>1</formula>
    </cfRule>
  </conditionalFormatting>
  <conditionalFormatting sqref="B43:B44">
    <cfRule type="cellIs" dxfId="1293" priority="19" operator="greaterThan">
      <formula>0</formula>
    </cfRule>
    <cfRule type="cellIs" dxfId="1292" priority="79" operator="greaterThan">
      <formula>0</formula>
    </cfRule>
  </conditionalFormatting>
  <conditionalFormatting sqref="B46">
    <cfRule type="cellIs" dxfId="1291" priority="14" operator="greaterThan">
      <formula>0</formula>
    </cfRule>
  </conditionalFormatting>
  <conditionalFormatting sqref="B47">
    <cfRule type="cellIs" dxfId="1290" priority="11" operator="greaterThan">
      <formula>1</formula>
    </cfRule>
  </conditionalFormatting>
  <conditionalFormatting sqref="B47:B48">
    <cfRule type="cellIs" dxfId="1289" priority="13" operator="greaterThan">
      <formula>0</formula>
    </cfRule>
  </conditionalFormatting>
  <conditionalFormatting sqref="B25:D25">
    <cfRule type="cellIs" dxfId="1288" priority="52" operator="greaterThan">
      <formula>0</formula>
    </cfRule>
  </conditionalFormatting>
  <conditionalFormatting sqref="B44:D44">
    <cfRule type="cellIs" dxfId="1287" priority="82" operator="greaterThan">
      <formula>0</formula>
    </cfRule>
  </conditionalFormatting>
  <conditionalFormatting sqref="B48:M48">
    <cfRule type="cellIs" dxfId="1286" priority="119" operator="greaterThan">
      <formula>0</formula>
    </cfRule>
  </conditionalFormatting>
  <conditionalFormatting sqref="B50:M50">
    <cfRule type="cellIs" dxfId="1285" priority="16" operator="greaterThan">
      <formula>0</formula>
    </cfRule>
  </conditionalFormatting>
  <conditionalFormatting sqref="B4:P5">
    <cfRule type="containsBlanks" dxfId="1284" priority="1">
      <formula>LEN(TRIM(B4))=0</formula>
    </cfRule>
  </conditionalFormatting>
  <conditionalFormatting sqref="B48:P48 R48">
    <cfRule type="cellIs" dxfId="1283" priority="10" operator="greaterThan">
      <formula>0</formula>
    </cfRule>
  </conditionalFormatting>
  <conditionalFormatting sqref="C2:R3">
    <cfRule type="containsBlanks" dxfId="1282" priority="2">
      <formula>LEN(TRIM(C2))=0</formula>
    </cfRule>
  </conditionalFormatting>
  <conditionalFormatting sqref="E24">
    <cfRule type="cellIs" dxfId="1281" priority="53" operator="greaterThan">
      <formula>1</formula>
    </cfRule>
  </conditionalFormatting>
  <conditionalFormatting sqref="E24:E25">
    <cfRule type="cellIs" dxfId="1280" priority="55" operator="greaterThan">
      <formula>0</formula>
    </cfRule>
  </conditionalFormatting>
  <conditionalFormatting sqref="E42">
    <cfRule type="cellIs" dxfId="1279" priority="25" operator="greaterThan">
      <formula>0</formula>
    </cfRule>
  </conditionalFormatting>
  <conditionalFormatting sqref="E43">
    <cfRule type="cellIs" dxfId="1278" priority="22" operator="greaterThan">
      <formula>1</formula>
    </cfRule>
    <cfRule type="cellIs" dxfId="1277" priority="83" operator="greaterThan">
      <formula>1</formula>
    </cfRule>
    <cfRule type="cellIs" dxfId="1276" priority="88" operator="greaterThan">
      <formula>1</formula>
    </cfRule>
  </conditionalFormatting>
  <conditionalFormatting sqref="E43:E44">
    <cfRule type="cellIs" dxfId="1275" priority="24" operator="greaterThan">
      <formula>0</formula>
    </cfRule>
    <cfRule type="cellIs" dxfId="1274" priority="85" operator="greaterThan">
      <formula>0</formula>
    </cfRule>
    <cfRule type="cellIs" dxfId="1273" priority="90" operator="greaterThan">
      <formula>0</formula>
    </cfRule>
  </conditionalFormatting>
  <conditionalFormatting sqref="E46">
    <cfRule type="cellIs" dxfId="1272" priority="40" operator="greaterThan">
      <formula>0</formula>
    </cfRule>
  </conditionalFormatting>
  <conditionalFormatting sqref="E47">
    <cfRule type="cellIs" dxfId="1271" priority="37" operator="greaterThan">
      <formula>1</formula>
    </cfRule>
  </conditionalFormatting>
  <conditionalFormatting sqref="E47:E48">
    <cfRule type="cellIs" dxfId="1270" priority="39" operator="greaterThan">
      <formula>0</formula>
    </cfRule>
  </conditionalFormatting>
  <conditionalFormatting sqref="E25:G25">
    <cfRule type="cellIs" dxfId="1269" priority="58" operator="greaterThan">
      <formula>0</formula>
    </cfRule>
  </conditionalFormatting>
  <conditionalFormatting sqref="E44:G44">
    <cfRule type="cellIs" dxfId="1268" priority="93" operator="greaterThan">
      <formula>0</formula>
    </cfRule>
  </conditionalFormatting>
  <conditionalFormatting sqref="E24:M24">
    <cfRule type="cellIs" dxfId="1267" priority="72" operator="greaterThan">
      <formula>0</formula>
    </cfRule>
  </conditionalFormatting>
  <conditionalFormatting sqref="E43:M43">
    <cfRule type="cellIs" dxfId="1266" priority="116" operator="greaterThan">
      <formula>0</formula>
    </cfRule>
  </conditionalFormatting>
  <conditionalFormatting sqref="H24">
    <cfRule type="cellIs" dxfId="1265" priority="59" operator="greaterThan">
      <formula>1</formula>
    </cfRule>
  </conditionalFormatting>
  <conditionalFormatting sqref="H24:H25">
    <cfRule type="cellIs" dxfId="1264" priority="61" operator="greaterThan">
      <formula>0</formula>
    </cfRule>
  </conditionalFormatting>
  <conditionalFormatting sqref="H42">
    <cfRule type="cellIs" dxfId="1263" priority="30" operator="greaterThan">
      <formula>0</formula>
    </cfRule>
  </conditionalFormatting>
  <conditionalFormatting sqref="H43">
    <cfRule type="cellIs" dxfId="1262" priority="27" operator="greaterThan">
      <formula>1</formula>
    </cfRule>
    <cfRule type="cellIs" dxfId="1261" priority="99" operator="greaterThan">
      <formula>1</formula>
    </cfRule>
    <cfRule type="cellIs" dxfId="1260" priority="94" operator="greaterThan">
      <formula>1</formula>
    </cfRule>
  </conditionalFormatting>
  <conditionalFormatting sqref="H43:H44">
    <cfRule type="cellIs" dxfId="1259" priority="29" operator="greaterThan">
      <formula>0</formula>
    </cfRule>
    <cfRule type="cellIs" dxfId="1258" priority="96" operator="greaterThan">
      <formula>0</formula>
    </cfRule>
    <cfRule type="cellIs" dxfId="1257" priority="101" operator="greaterThan">
      <formula>0</formula>
    </cfRule>
  </conditionalFormatting>
  <conditionalFormatting sqref="H46">
    <cfRule type="cellIs" dxfId="1256" priority="45" operator="greaterThan">
      <formula>0</formula>
    </cfRule>
  </conditionalFormatting>
  <conditionalFormatting sqref="H47">
    <cfRule type="cellIs" dxfId="1255" priority="42" operator="greaterThan">
      <formula>1</formula>
    </cfRule>
  </conditionalFormatting>
  <conditionalFormatting sqref="H47:H48">
    <cfRule type="cellIs" dxfId="1254" priority="44" operator="greaterThan">
      <formula>0</formula>
    </cfRule>
  </conditionalFormatting>
  <conditionalFormatting sqref="H25:J25">
    <cfRule type="cellIs" dxfId="1253" priority="64" operator="greaterThan">
      <formula>0</formula>
    </cfRule>
  </conditionalFormatting>
  <conditionalFormatting sqref="H44:J44">
    <cfRule type="cellIs" dxfId="1252" priority="104" operator="greaterThan">
      <formula>0</formula>
    </cfRule>
  </conditionalFormatting>
  <conditionalFormatting sqref="K24">
    <cfRule type="cellIs" dxfId="1251" priority="66" operator="greaterThan">
      <formula>1</formula>
    </cfRule>
  </conditionalFormatting>
  <conditionalFormatting sqref="K24:K25">
    <cfRule type="cellIs" dxfId="1250" priority="68" operator="greaterThan">
      <formula>0</formula>
    </cfRule>
  </conditionalFormatting>
  <conditionalFormatting sqref="K43">
    <cfRule type="cellIs" dxfId="1249" priority="105" operator="greaterThan">
      <formula>1</formula>
    </cfRule>
    <cfRule type="cellIs" dxfId="1248" priority="110" operator="greaterThan">
      <formula>1</formula>
    </cfRule>
  </conditionalFormatting>
  <conditionalFormatting sqref="K43:K44">
    <cfRule type="cellIs" dxfId="1247" priority="34" operator="greaterThan">
      <formula>0</formula>
    </cfRule>
    <cfRule type="cellIs" dxfId="1246" priority="107" operator="greaterThan">
      <formula>0</formula>
    </cfRule>
    <cfRule type="cellIs" dxfId="1245" priority="112" operator="greaterThan">
      <formula>0</formula>
    </cfRule>
  </conditionalFormatting>
  <conditionalFormatting sqref="K46">
    <cfRule type="cellIs" dxfId="1244" priority="50" operator="greaterThan">
      <formula>0</formula>
    </cfRule>
  </conditionalFormatting>
  <conditionalFormatting sqref="K47">
    <cfRule type="cellIs" dxfId="1243" priority="47" operator="greaterThan">
      <formula>1</formula>
    </cfRule>
  </conditionalFormatting>
  <conditionalFormatting sqref="K47:K48">
    <cfRule type="cellIs" dxfId="1242" priority="49" operator="greaterThan">
      <formula>0</formula>
    </cfRule>
  </conditionalFormatting>
  <conditionalFormatting sqref="K25:M25">
    <cfRule type="cellIs" dxfId="1241" priority="71" operator="greaterThan">
      <formula>0</formula>
    </cfRule>
  </conditionalFormatting>
  <conditionalFormatting sqref="K44:M44">
    <cfRule type="cellIs" dxfId="1240" priority="115" operator="greaterThan">
      <formula>0</formula>
    </cfRule>
  </conditionalFormatting>
  <conditionalFormatting sqref="K47:M47">
    <cfRule type="cellIs" dxfId="1239" priority="120" operator="greaterThan">
      <formula>0</formula>
    </cfRule>
  </conditionalFormatting>
  <conditionalFormatting sqref="K47:P47">
    <cfRule type="cellIs" dxfId="1238" priority="9" operator="greaterThan">
      <formula>0</formula>
    </cfRule>
  </conditionalFormatting>
  <pageMargins left="0.25" right="0.25" top="0.75" bottom="0.75" header="0.3" footer="0.3"/>
  <pageSetup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E814-B342-407A-80B0-DABDF5F2A3B7}">
  <sheetPr>
    <outlinePr summaryBelow="0" summaryRight="0"/>
    <pageSetUpPr fitToPage="1"/>
  </sheetPr>
  <dimension ref="A1:AC997"/>
  <sheetViews>
    <sheetView zoomScale="85" zoomScaleNormal="100" workbookViewId="0">
      <selection activeCell="A8" sqref="A8"/>
    </sheetView>
  </sheetViews>
  <sheetFormatPr defaultColWidth="14.44140625" defaultRowHeight="15" customHeight="1" x14ac:dyDescent="0.25"/>
  <cols>
    <col min="1" max="1" width="24" customWidth="1"/>
    <col min="2" max="16" width="5.33203125" customWidth="1"/>
    <col min="17" max="17" width="17.5546875" bestFit="1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41.25" customHeight="1" thickBot="1" x14ac:dyDescent="0.35">
      <c r="A1" s="228" t="s">
        <v>0</v>
      </c>
      <c r="B1" s="229"/>
      <c r="C1" s="230" t="s">
        <v>1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2">
        <v>46054</v>
      </c>
      <c r="Q1" s="231"/>
      <c r="R1" s="231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233" t="s">
        <v>2</v>
      </c>
      <c r="B2" s="215"/>
      <c r="C2" s="225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7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8" thickBot="1" x14ac:dyDescent="0.35">
      <c r="A3" s="247" t="s">
        <v>3</v>
      </c>
      <c r="B3" s="183"/>
      <c r="C3" s="234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6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54" customHeight="1" x14ac:dyDescent="0.25">
      <c r="A4" s="92" t="s">
        <v>4</v>
      </c>
      <c r="B4" s="240"/>
      <c r="C4" s="241"/>
      <c r="D4" s="242"/>
      <c r="E4" s="240"/>
      <c r="F4" s="241"/>
      <c r="G4" s="242"/>
      <c r="H4" s="240"/>
      <c r="I4" s="241"/>
      <c r="J4" s="242"/>
      <c r="K4" s="240"/>
      <c r="L4" s="241"/>
      <c r="M4" s="242"/>
      <c r="N4" s="240"/>
      <c r="O4" s="241"/>
      <c r="P4" s="242"/>
      <c r="Q4" s="243" t="s">
        <v>5</v>
      </c>
      <c r="R4" s="244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93" t="s">
        <v>6</v>
      </c>
      <c r="B5" s="237"/>
      <c r="C5" s="238"/>
      <c r="D5" s="239"/>
      <c r="E5" s="237"/>
      <c r="F5" s="238"/>
      <c r="G5" s="239"/>
      <c r="H5" s="237"/>
      <c r="I5" s="238"/>
      <c r="J5" s="239"/>
      <c r="K5" s="237"/>
      <c r="L5" s="238"/>
      <c r="M5" s="239"/>
      <c r="N5" s="237"/>
      <c r="O5" s="238"/>
      <c r="P5" s="239"/>
      <c r="Q5" s="245"/>
      <c r="R5" s="180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thickBot="1" x14ac:dyDescent="0.3">
      <c r="A6" s="94" t="s">
        <v>7</v>
      </c>
      <c r="B6" s="237"/>
      <c r="C6" s="238"/>
      <c r="D6" s="239"/>
      <c r="E6" s="237"/>
      <c r="F6" s="238"/>
      <c r="G6" s="239"/>
      <c r="H6" s="237"/>
      <c r="I6" s="238"/>
      <c r="J6" s="239"/>
      <c r="K6" s="237"/>
      <c r="L6" s="238"/>
      <c r="M6" s="239"/>
      <c r="N6" s="237"/>
      <c r="O6" s="238"/>
      <c r="P6" s="239"/>
      <c r="Q6" s="245"/>
      <c r="R6" s="180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thickBot="1" x14ac:dyDescent="0.3">
      <c r="A7" s="153"/>
      <c r="B7" s="95" t="s">
        <v>8</v>
      </c>
      <c r="C7" s="96" t="s">
        <v>9</v>
      </c>
      <c r="D7" s="97" t="s">
        <v>10</v>
      </c>
      <c r="E7" s="95" t="s">
        <v>8</v>
      </c>
      <c r="F7" s="96" t="s">
        <v>9</v>
      </c>
      <c r="G7" s="97" t="s">
        <v>10</v>
      </c>
      <c r="H7" s="95" t="s">
        <v>8</v>
      </c>
      <c r="I7" s="96" t="s">
        <v>9</v>
      </c>
      <c r="J7" s="97" t="s">
        <v>10</v>
      </c>
      <c r="K7" s="95" t="s">
        <v>8</v>
      </c>
      <c r="L7" s="96" t="s">
        <v>9</v>
      </c>
      <c r="M7" s="97" t="s">
        <v>10</v>
      </c>
      <c r="N7" s="95" t="s">
        <v>8</v>
      </c>
      <c r="O7" s="96" t="s">
        <v>9</v>
      </c>
      <c r="P7" s="97" t="s">
        <v>10</v>
      </c>
      <c r="Q7" s="246"/>
      <c r="R7" s="188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8" x14ac:dyDescent="0.25">
      <c r="A8" s="98">
        <v>46054</v>
      </c>
      <c r="B8" s="140"/>
      <c r="C8" s="141"/>
      <c r="D8" s="142"/>
      <c r="E8" s="143"/>
      <c r="F8" s="141"/>
      <c r="G8" s="142"/>
      <c r="H8" s="143"/>
      <c r="I8" s="141"/>
      <c r="J8" s="142"/>
      <c r="K8" s="143"/>
      <c r="L8" s="141"/>
      <c r="M8" s="142"/>
      <c r="N8" s="143"/>
      <c r="O8" s="141"/>
      <c r="P8" s="142"/>
      <c r="Q8" s="248"/>
      <c r="R8" s="20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8" x14ac:dyDescent="0.25">
      <c r="A9" s="99">
        <f t="shared" ref="A9:A22" si="0">A8+1</f>
        <v>46055</v>
      </c>
      <c r="B9" s="133"/>
      <c r="C9" s="134"/>
      <c r="D9" s="135"/>
      <c r="E9" s="136"/>
      <c r="F9" s="134"/>
      <c r="G9" s="135"/>
      <c r="H9" s="136"/>
      <c r="I9" s="134"/>
      <c r="J9" s="135"/>
      <c r="K9" s="136"/>
      <c r="L9" s="134"/>
      <c r="M9" s="135"/>
      <c r="N9" s="136"/>
      <c r="O9" s="134"/>
      <c r="P9" s="135"/>
      <c r="Q9" s="224"/>
      <c r="R9" s="191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3.8" x14ac:dyDescent="0.25">
      <c r="A10" s="100">
        <f t="shared" si="0"/>
        <v>46056</v>
      </c>
      <c r="B10" s="140"/>
      <c r="C10" s="137"/>
      <c r="D10" s="138"/>
      <c r="E10" s="139"/>
      <c r="F10" s="137"/>
      <c r="G10" s="138"/>
      <c r="H10" s="139"/>
      <c r="I10" s="137"/>
      <c r="J10" s="138"/>
      <c r="K10" s="139"/>
      <c r="L10" s="137"/>
      <c r="M10" s="138"/>
      <c r="N10" s="139"/>
      <c r="O10" s="137"/>
      <c r="P10" s="138"/>
      <c r="Q10" s="204"/>
      <c r="R10" s="191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8" x14ac:dyDescent="0.25">
      <c r="A11" s="100">
        <f t="shared" si="0"/>
        <v>46057</v>
      </c>
      <c r="B11" s="140"/>
      <c r="C11" s="137"/>
      <c r="D11" s="138"/>
      <c r="E11" s="139"/>
      <c r="F11" s="137"/>
      <c r="G11" s="138"/>
      <c r="H11" s="139"/>
      <c r="I11" s="137"/>
      <c r="J11" s="138"/>
      <c r="K11" s="139"/>
      <c r="L11" s="137"/>
      <c r="M11" s="138"/>
      <c r="N11" s="139"/>
      <c r="O11" s="137"/>
      <c r="P11" s="138"/>
      <c r="Q11" s="204"/>
      <c r="R11" s="191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8" x14ac:dyDescent="0.25">
      <c r="A12" s="100">
        <f t="shared" si="0"/>
        <v>46058</v>
      </c>
      <c r="B12" s="140"/>
      <c r="C12" s="137"/>
      <c r="D12" s="138"/>
      <c r="E12" s="139"/>
      <c r="F12" s="137"/>
      <c r="G12" s="138"/>
      <c r="H12" s="139"/>
      <c r="I12" s="137"/>
      <c r="J12" s="138"/>
      <c r="K12" s="139"/>
      <c r="L12" s="137"/>
      <c r="M12" s="138"/>
      <c r="N12" s="139"/>
      <c r="O12" s="137"/>
      <c r="P12" s="138"/>
      <c r="Q12" s="204"/>
      <c r="R12" s="191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8" x14ac:dyDescent="0.25">
      <c r="A13" s="100">
        <f t="shared" si="0"/>
        <v>46059</v>
      </c>
      <c r="B13" s="140"/>
      <c r="C13" s="137"/>
      <c r="D13" s="138"/>
      <c r="E13" s="139"/>
      <c r="F13" s="137"/>
      <c r="G13" s="138"/>
      <c r="H13" s="139"/>
      <c r="I13" s="137"/>
      <c r="J13" s="138"/>
      <c r="K13" s="139"/>
      <c r="L13" s="137"/>
      <c r="M13" s="138"/>
      <c r="N13" s="139"/>
      <c r="O13" s="137"/>
      <c r="P13" s="138"/>
      <c r="Q13" s="204"/>
      <c r="R13" s="191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8" x14ac:dyDescent="0.25">
      <c r="A14" s="100">
        <f t="shared" si="0"/>
        <v>46060</v>
      </c>
      <c r="B14" s="140"/>
      <c r="C14" s="137"/>
      <c r="D14" s="138"/>
      <c r="E14" s="139"/>
      <c r="F14" s="137"/>
      <c r="G14" s="138"/>
      <c r="H14" s="139"/>
      <c r="I14" s="137"/>
      <c r="J14" s="138"/>
      <c r="K14" s="139"/>
      <c r="L14" s="137"/>
      <c r="M14" s="138"/>
      <c r="N14" s="139"/>
      <c r="O14" s="137"/>
      <c r="P14" s="138"/>
      <c r="Q14" s="204"/>
      <c r="R14" s="191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8" x14ac:dyDescent="0.25">
      <c r="A15" s="100">
        <f t="shared" si="0"/>
        <v>46061</v>
      </c>
      <c r="B15" s="140"/>
      <c r="C15" s="137"/>
      <c r="D15" s="138"/>
      <c r="E15" s="139"/>
      <c r="F15" s="137"/>
      <c r="G15" s="138"/>
      <c r="H15" s="139"/>
      <c r="I15" s="137"/>
      <c r="J15" s="138"/>
      <c r="K15" s="139"/>
      <c r="L15" s="137"/>
      <c r="M15" s="138"/>
      <c r="N15" s="139"/>
      <c r="O15" s="137"/>
      <c r="P15" s="138"/>
      <c r="Q15" s="205"/>
      <c r="R15" s="191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8" x14ac:dyDescent="0.25">
      <c r="A16" s="100">
        <f t="shared" si="0"/>
        <v>46062</v>
      </c>
      <c r="B16" s="140"/>
      <c r="C16" s="137"/>
      <c r="D16" s="138"/>
      <c r="E16" s="139"/>
      <c r="F16" s="137"/>
      <c r="G16" s="138"/>
      <c r="H16" s="139"/>
      <c r="I16" s="137"/>
      <c r="J16" s="138"/>
      <c r="K16" s="139"/>
      <c r="L16" s="137"/>
      <c r="M16" s="138"/>
      <c r="N16" s="139"/>
      <c r="O16" s="137"/>
      <c r="P16" s="138"/>
      <c r="Q16" s="204"/>
      <c r="R16" s="191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4.4" x14ac:dyDescent="0.3">
      <c r="A17" s="100">
        <f t="shared" si="0"/>
        <v>46063</v>
      </c>
      <c r="B17" s="140"/>
      <c r="C17" s="137"/>
      <c r="D17" s="138"/>
      <c r="E17" s="139"/>
      <c r="F17" s="137"/>
      <c r="G17" s="138"/>
      <c r="H17" s="139"/>
      <c r="I17" s="137"/>
      <c r="J17" s="138"/>
      <c r="K17" s="139"/>
      <c r="L17" s="137"/>
      <c r="M17" s="138"/>
      <c r="N17" s="139"/>
      <c r="O17" s="137"/>
      <c r="P17" s="138"/>
      <c r="Q17" s="204"/>
      <c r="R17" s="191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4.4" x14ac:dyDescent="0.3">
      <c r="A18" s="100">
        <f t="shared" si="0"/>
        <v>46064</v>
      </c>
      <c r="B18" s="140"/>
      <c r="C18" s="137"/>
      <c r="D18" s="138"/>
      <c r="E18" s="139"/>
      <c r="F18" s="137"/>
      <c r="G18" s="138"/>
      <c r="H18" s="139"/>
      <c r="I18" s="137"/>
      <c r="J18" s="138"/>
      <c r="K18" s="139"/>
      <c r="L18" s="137"/>
      <c r="M18" s="138"/>
      <c r="N18" s="139"/>
      <c r="O18" s="137"/>
      <c r="P18" s="138"/>
      <c r="Q18" s="205"/>
      <c r="R18" s="191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4.4" x14ac:dyDescent="0.3">
      <c r="A19" s="100">
        <f t="shared" si="0"/>
        <v>46065</v>
      </c>
      <c r="B19" s="140"/>
      <c r="C19" s="137"/>
      <c r="D19" s="138"/>
      <c r="E19" s="139"/>
      <c r="F19" s="137"/>
      <c r="G19" s="138"/>
      <c r="H19" s="139"/>
      <c r="I19" s="137"/>
      <c r="J19" s="138"/>
      <c r="K19" s="139"/>
      <c r="L19" s="137"/>
      <c r="M19" s="138"/>
      <c r="N19" s="139"/>
      <c r="O19" s="137"/>
      <c r="P19" s="138"/>
      <c r="Q19" s="204"/>
      <c r="R19" s="191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4.4" x14ac:dyDescent="0.3">
      <c r="A20" s="100">
        <f t="shared" si="0"/>
        <v>46066</v>
      </c>
      <c r="B20" s="140"/>
      <c r="C20" s="137"/>
      <c r="D20" s="138"/>
      <c r="E20" s="139"/>
      <c r="F20" s="137"/>
      <c r="G20" s="138"/>
      <c r="H20" s="139"/>
      <c r="I20" s="137"/>
      <c r="J20" s="138"/>
      <c r="K20" s="139"/>
      <c r="L20" s="137"/>
      <c r="M20" s="138"/>
      <c r="N20" s="139"/>
      <c r="O20" s="137"/>
      <c r="P20" s="138"/>
      <c r="Q20" s="204"/>
      <c r="R20" s="191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100">
        <f t="shared" si="0"/>
        <v>46067</v>
      </c>
      <c r="B21" s="140"/>
      <c r="C21" s="137"/>
      <c r="D21" s="138"/>
      <c r="E21" s="139"/>
      <c r="F21" s="137"/>
      <c r="G21" s="138"/>
      <c r="H21" s="139"/>
      <c r="I21" s="137"/>
      <c r="J21" s="138"/>
      <c r="K21" s="139"/>
      <c r="L21" s="137"/>
      <c r="M21" s="138"/>
      <c r="N21" s="139"/>
      <c r="O21" s="137"/>
      <c r="P21" s="138"/>
      <c r="Q21" s="204" t="s">
        <v>40</v>
      </c>
      <c r="R21" s="191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thickBot="1" x14ac:dyDescent="0.35">
      <c r="A22" s="101">
        <f t="shared" si="0"/>
        <v>46068</v>
      </c>
      <c r="B22" s="140"/>
      <c r="C22" s="154"/>
      <c r="D22" s="155"/>
      <c r="E22" s="156"/>
      <c r="F22" s="154"/>
      <c r="G22" s="155"/>
      <c r="H22" s="156"/>
      <c r="I22" s="154"/>
      <c r="J22" s="155"/>
      <c r="K22" s="156"/>
      <c r="L22" s="154"/>
      <c r="M22" s="155"/>
      <c r="N22" s="156"/>
      <c r="O22" s="154"/>
      <c r="P22" s="155"/>
      <c r="Q22" s="212"/>
      <c r="R22" s="213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102" t="s">
        <v>17</v>
      </c>
      <c r="B23" s="214">
        <f>SUM(B8:B22)</f>
        <v>0</v>
      </c>
      <c r="C23" s="207"/>
      <c r="D23" s="208"/>
      <c r="E23" s="214">
        <f>SUM(E8:E22)</f>
        <v>0</v>
      </c>
      <c r="F23" s="207"/>
      <c r="G23" s="208"/>
      <c r="H23" s="214">
        <f>SUM(H8:H22)</f>
        <v>0</v>
      </c>
      <c r="I23" s="207"/>
      <c r="J23" s="208"/>
      <c r="K23" s="214">
        <f>SUM(K8:K22)</f>
        <v>0</v>
      </c>
      <c r="L23" s="207"/>
      <c r="M23" s="208"/>
      <c r="N23" s="214">
        <f>SUM(N8:N22)</f>
        <v>0</v>
      </c>
      <c r="O23" s="207"/>
      <c r="P23" s="208"/>
      <c r="Q23" s="103" t="s">
        <v>18</v>
      </c>
      <c r="R23" s="104">
        <f t="shared" ref="R23:R25" si="1">SUM(B23:P23)</f>
        <v>0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25">
      <c r="A24" s="105" t="s">
        <v>20</v>
      </c>
      <c r="B24" s="192">
        <f>SUM(C8:C23)</f>
        <v>0</v>
      </c>
      <c r="C24" s="190"/>
      <c r="D24" s="191"/>
      <c r="E24" s="192">
        <f>SUM(F8:F23)</f>
        <v>0</v>
      </c>
      <c r="F24" s="190"/>
      <c r="G24" s="191"/>
      <c r="H24" s="192">
        <f>SUM(I8:I23)</f>
        <v>0</v>
      </c>
      <c r="I24" s="190"/>
      <c r="J24" s="191"/>
      <c r="K24" s="192">
        <f>SUM(L8:L23)</f>
        <v>0</v>
      </c>
      <c r="L24" s="190"/>
      <c r="M24" s="191"/>
      <c r="N24" s="192">
        <f>SUM(O8:O23)</f>
        <v>0</v>
      </c>
      <c r="O24" s="190"/>
      <c r="P24" s="191"/>
      <c r="Q24" s="106" t="s">
        <v>21</v>
      </c>
      <c r="R24" s="107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thickBot="1" x14ac:dyDescent="0.3">
      <c r="A25" s="108" t="s">
        <v>22</v>
      </c>
      <c r="B25" s="181">
        <f>SUM(D8:D22)</f>
        <v>0</v>
      </c>
      <c r="C25" s="182"/>
      <c r="D25" s="185"/>
      <c r="E25" s="181">
        <f>SUM(G8:G22)</f>
        <v>0</v>
      </c>
      <c r="F25" s="182"/>
      <c r="G25" s="185"/>
      <c r="H25" s="181">
        <f>SUM(J8:J22)</f>
        <v>0</v>
      </c>
      <c r="I25" s="182"/>
      <c r="J25" s="185"/>
      <c r="K25" s="181">
        <f>SUM(M8:M22)</f>
        <v>0</v>
      </c>
      <c r="L25" s="182"/>
      <c r="M25" s="185"/>
      <c r="N25" s="181">
        <f>SUM(P8:P22)</f>
        <v>0</v>
      </c>
      <c r="O25" s="182"/>
      <c r="P25" s="185"/>
      <c r="Q25" s="109" t="s">
        <v>23</v>
      </c>
      <c r="R25" s="110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98">
        <f>A22+1</f>
        <v>46069</v>
      </c>
      <c r="B26" s="151"/>
      <c r="C26" s="159"/>
      <c r="D26" s="160"/>
      <c r="E26" s="161"/>
      <c r="F26" s="159"/>
      <c r="G26" s="160"/>
      <c r="H26" s="161"/>
      <c r="I26" s="159"/>
      <c r="J26" s="160"/>
      <c r="K26" s="161"/>
      <c r="L26" s="159"/>
      <c r="M26" s="160"/>
      <c r="N26" s="161"/>
      <c r="O26" s="159"/>
      <c r="P26" s="160"/>
      <c r="Q26" s="249" t="s">
        <v>42</v>
      </c>
      <c r="R26" s="191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100">
        <f t="shared" ref="A27:A39" si="2">A26+1</f>
        <v>46070</v>
      </c>
      <c r="B27" s="151"/>
      <c r="C27" s="137"/>
      <c r="D27" s="138"/>
      <c r="E27" s="139"/>
      <c r="F27" s="137"/>
      <c r="G27" s="138"/>
      <c r="H27" s="139"/>
      <c r="I27" s="137"/>
      <c r="J27" s="138"/>
      <c r="K27" s="139"/>
      <c r="L27" s="137"/>
      <c r="M27" s="138"/>
      <c r="N27" s="139"/>
      <c r="O27" s="137"/>
      <c r="P27" s="138"/>
      <c r="Q27" s="204"/>
      <c r="R27" s="191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100">
        <f t="shared" si="2"/>
        <v>46071</v>
      </c>
      <c r="B28" s="151"/>
      <c r="C28" s="137"/>
      <c r="D28" s="138"/>
      <c r="E28" s="139"/>
      <c r="F28" s="137"/>
      <c r="G28" s="138"/>
      <c r="H28" s="139"/>
      <c r="I28" s="137"/>
      <c r="J28" s="138"/>
      <c r="K28" s="139"/>
      <c r="L28" s="137"/>
      <c r="M28" s="138"/>
      <c r="N28" s="139"/>
      <c r="O28" s="137"/>
      <c r="P28" s="138"/>
      <c r="Q28" s="204"/>
      <c r="R28" s="191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100">
        <f t="shared" si="2"/>
        <v>46072</v>
      </c>
      <c r="B29" s="151"/>
      <c r="C29" s="137"/>
      <c r="D29" s="138"/>
      <c r="E29" s="139"/>
      <c r="F29" s="137"/>
      <c r="G29" s="138"/>
      <c r="H29" s="139"/>
      <c r="I29" s="137"/>
      <c r="J29" s="138"/>
      <c r="K29" s="139"/>
      <c r="L29" s="137"/>
      <c r="M29" s="138"/>
      <c r="N29" s="139"/>
      <c r="O29" s="137"/>
      <c r="P29" s="138"/>
      <c r="Q29" s="249"/>
      <c r="R29" s="191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100">
        <f t="shared" si="2"/>
        <v>46073</v>
      </c>
      <c r="B30" s="151"/>
      <c r="C30" s="137"/>
      <c r="D30" s="138"/>
      <c r="E30" s="139"/>
      <c r="F30" s="137"/>
      <c r="G30" s="138"/>
      <c r="H30" s="139"/>
      <c r="I30" s="137"/>
      <c r="J30" s="138"/>
      <c r="K30" s="139"/>
      <c r="L30" s="137"/>
      <c r="M30" s="138"/>
      <c r="N30" s="139"/>
      <c r="O30" s="137"/>
      <c r="P30" s="138"/>
      <c r="Q30" s="249"/>
      <c r="R30" s="191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100">
        <f t="shared" si="2"/>
        <v>46074</v>
      </c>
      <c r="B31" s="151"/>
      <c r="C31" s="137"/>
      <c r="D31" s="138"/>
      <c r="E31" s="139"/>
      <c r="F31" s="137"/>
      <c r="G31" s="138"/>
      <c r="H31" s="139"/>
      <c r="I31" s="137"/>
      <c r="J31" s="138"/>
      <c r="K31" s="139"/>
      <c r="L31" s="137"/>
      <c r="M31" s="138"/>
      <c r="N31" s="139"/>
      <c r="O31" s="137"/>
      <c r="P31" s="138"/>
      <c r="Q31" s="249"/>
      <c r="R31" s="191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100">
        <f t="shared" si="2"/>
        <v>46075</v>
      </c>
      <c r="B32" s="151"/>
      <c r="C32" s="137"/>
      <c r="D32" s="138"/>
      <c r="E32" s="139"/>
      <c r="F32" s="137"/>
      <c r="G32" s="138"/>
      <c r="H32" s="139"/>
      <c r="I32" s="137"/>
      <c r="J32" s="138"/>
      <c r="K32" s="139"/>
      <c r="L32" s="137"/>
      <c r="M32" s="138"/>
      <c r="N32" s="139"/>
      <c r="O32" s="137"/>
      <c r="P32" s="138"/>
      <c r="Q32" s="204"/>
      <c r="R32" s="191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100">
        <f t="shared" si="2"/>
        <v>46076</v>
      </c>
      <c r="B33" s="151"/>
      <c r="C33" s="137"/>
      <c r="D33" s="138"/>
      <c r="E33" s="139"/>
      <c r="F33" s="137"/>
      <c r="G33" s="138"/>
      <c r="H33" s="139"/>
      <c r="I33" s="137"/>
      <c r="J33" s="138"/>
      <c r="K33" s="139"/>
      <c r="L33" s="137"/>
      <c r="M33" s="138"/>
      <c r="N33" s="139"/>
      <c r="O33" s="137"/>
      <c r="P33" s="138"/>
      <c r="Q33" s="205"/>
      <c r="R33" s="191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100">
        <f t="shared" si="2"/>
        <v>46077</v>
      </c>
      <c r="B34" s="151"/>
      <c r="C34" s="137"/>
      <c r="D34" s="138"/>
      <c r="E34" s="139"/>
      <c r="F34" s="137"/>
      <c r="G34" s="138"/>
      <c r="H34" s="139"/>
      <c r="I34" s="137"/>
      <c r="J34" s="138"/>
      <c r="K34" s="139"/>
      <c r="L34" s="137"/>
      <c r="M34" s="138"/>
      <c r="N34" s="139"/>
      <c r="O34" s="137"/>
      <c r="P34" s="138"/>
      <c r="Q34" s="204"/>
      <c r="R34" s="191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100">
        <f t="shared" si="2"/>
        <v>46078</v>
      </c>
      <c r="B35" s="151"/>
      <c r="C35" s="137"/>
      <c r="D35" s="138"/>
      <c r="E35" s="139"/>
      <c r="F35" s="137"/>
      <c r="G35" s="138"/>
      <c r="H35" s="139"/>
      <c r="I35" s="137"/>
      <c r="J35" s="138"/>
      <c r="K35" s="139"/>
      <c r="L35" s="137"/>
      <c r="M35" s="138"/>
      <c r="N35" s="139"/>
      <c r="O35" s="137"/>
      <c r="P35" s="138"/>
      <c r="Q35" s="204"/>
      <c r="R35" s="191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100">
        <f t="shared" si="2"/>
        <v>46079</v>
      </c>
      <c r="B36" s="151"/>
      <c r="C36" s="137"/>
      <c r="D36" s="138"/>
      <c r="E36" s="139"/>
      <c r="F36" s="137"/>
      <c r="G36" s="138"/>
      <c r="H36" s="139"/>
      <c r="I36" s="137"/>
      <c r="J36" s="138"/>
      <c r="K36" s="139"/>
      <c r="L36" s="137"/>
      <c r="M36" s="138"/>
      <c r="N36" s="139"/>
      <c r="O36" s="137"/>
      <c r="P36" s="138"/>
      <c r="Q36" s="205"/>
      <c r="R36" s="191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100">
        <f t="shared" si="2"/>
        <v>46080</v>
      </c>
      <c r="B37" s="151"/>
      <c r="C37" s="137"/>
      <c r="D37" s="138"/>
      <c r="E37" s="139"/>
      <c r="F37" s="137"/>
      <c r="G37" s="138"/>
      <c r="H37" s="139"/>
      <c r="I37" s="137"/>
      <c r="J37" s="138"/>
      <c r="K37" s="139"/>
      <c r="L37" s="137"/>
      <c r="M37" s="138"/>
      <c r="N37" s="139"/>
      <c r="O37" s="137"/>
      <c r="P37" s="138"/>
      <c r="Q37" s="204"/>
      <c r="R37" s="191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100">
        <f t="shared" si="2"/>
        <v>46081</v>
      </c>
      <c r="B38" s="151"/>
      <c r="C38" s="137"/>
      <c r="D38" s="138"/>
      <c r="E38" s="139"/>
      <c r="F38" s="137"/>
      <c r="G38" s="138"/>
      <c r="H38" s="139"/>
      <c r="I38" s="137"/>
      <c r="J38" s="138"/>
      <c r="K38" s="139"/>
      <c r="L38" s="137"/>
      <c r="M38" s="138"/>
      <c r="N38" s="139"/>
      <c r="O38" s="137"/>
      <c r="P38" s="138"/>
      <c r="Q38" s="148"/>
      <c r="R38" s="147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thickBot="1" x14ac:dyDescent="0.3">
      <c r="A39" s="100">
        <f t="shared" si="2"/>
        <v>46082</v>
      </c>
      <c r="B39" s="151"/>
      <c r="C39" s="137"/>
      <c r="D39" s="138"/>
      <c r="E39" s="139"/>
      <c r="F39" s="137"/>
      <c r="G39" s="138"/>
      <c r="H39" s="139"/>
      <c r="I39" s="137"/>
      <c r="J39" s="138"/>
      <c r="K39" s="139"/>
      <c r="L39" s="137"/>
      <c r="M39" s="138"/>
      <c r="N39" s="139"/>
      <c r="O39" s="137"/>
      <c r="P39" s="138"/>
      <c r="Q39" s="204"/>
      <c r="R39" s="191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x14ac:dyDescent="0.25">
      <c r="A40" s="111" t="s">
        <v>24</v>
      </c>
      <c r="B40" s="206">
        <f>SUM(B26:B39)</f>
        <v>0</v>
      </c>
      <c r="C40" s="207"/>
      <c r="D40" s="208"/>
      <c r="E40" s="214">
        <f>SUM(E26:E39)</f>
        <v>0</v>
      </c>
      <c r="F40" s="207"/>
      <c r="G40" s="215"/>
      <c r="H40" s="206">
        <f>SUM(H26:H39)</f>
        <v>0</v>
      </c>
      <c r="I40" s="207"/>
      <c r="J40" s="208"/>
      <c r="K40" s="214">
        <f>SUM(K26:K39)</f>
        <v>0</v>
      </c>
      <c r="L40" s="207"/>
      <c r="M40" s="215"/>
      <c r="N40" s="214">
        <f>SUM(N26:N39)</f>
        <v>0</v>
      </c>
      <c r="O40" s="207"/>
      <c r="P40" s="215"/>
      <c r="Q40" s="103" t="s">
        <v>18</v>
      </c>
      <c r="R40" s="112">
        <f t="shared" ref="R40:R42" si="3">SUM(B40:P40)</f>
        <v>0</v>
      </c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</row>
    <row r="41" spans="1:29" ht="15.75" customHeight="1" x14ac:dyDescent="0.25">
      <c r="A41" s="113" t="s">
        <v>25</v>
      </c>
      <c r="B41" s="189">
        <f>SUM(C26:C40)</f>
        <v>0</v>
      </c>
      <c r="C41" s="190"/>
      <c r="D41" s="191"/>
      <c r="E41" s="192">
        <f>SUM(F26:F40)</f>
        <v>0</v>
      </c>
      <c r="F41" s="190"/>
      <c r="G41" s="216"/>
      <c r="H41" s="189">
        <f>SUM(I26:I40)</f>
        <v>0</v>
      </c>
      <c r="I41" s="190"/>
      <c r="J41" s="191"/>
      <c r="K41" s="192">
        <f>SUM(L26:L40)</f>
        <v>0</v>
      </c>
      <c r="L41" s="190"/>
      <c r="M41" s="216"/>
      <c r="N41" s="192">
        <f>SUM(O26:O40)</f>
        <v>0</v>
      </c>
      <c r="O41" s="190"/>
      <c r="P41" s="216"/>
      <c r="Q41" s="106" t="s">
        <v>26</v>
      </c>
      <c r="R41" s="114">
        <f t="shared" si="3"/>
        <v>0</v>
      </c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</row>
    <row r="42" spans="1:29" ht="15.75" customHeight="1" thickBot="1" x14ac:dyDescent="0.3">
      <c r="A42" s="115" t="s">
        <v>27</v>
      </c>
      <c r="B42" s="184">
        <f>SUM(D26:D39)</f>
        <v>0</v>
      </c>
      <c r="C42" s="182"/>
      <c r="D42" s="185"/>
      <c r="E42" s="181">
        <f>SUM(G26:G39)</f>
        <v>0</v>
      </c>
      <c r="F42" s="182"/>
      <c r="G42" s="183"/>
      <c r="H42" s="184">
        <f>SUM(J26:J39)</f>
        <v>0</v>
      </c>
      <c r="I42" s="182"/>
      <c r="J42" s="185"/>
      <c r="K42" s="181">
        <f>SUM(M26:M39)</f>
        <v>0</v>
      </c>
      <c r="L42" s="182"/>
      <c r="M42" s="183"/>
      <c r="N42" s="181">
        <f>SUM(P26:P39)</f>
        <v>0</v>
      </c>
      <c r="O42" s="182"/>
      <c r="P42" s="183"/>
      <c r="Q42" s="109" t="s">
        <v>23</v>
      </c>
      <c r="R42" s="116">
        <f t="shared" si="3"/>
        <v>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21" hidden="1" customHeight="1" x14ac:dyDescent="0.25">
      <c r="A43" s="157"/>
      <c r="B43" s="186" t="str">
        <f>IF(ISBLANK(B6),"",B6)</f>
        <v/>
      </c>
      <c r="C43" s="187"/>
      <c r="D43" s="188"/>
      <c r="E43" s="186" t="str">
        <f>IF(ISBLANK(E6),"",E6)</f>
        <v/>
      </c>
      <c r="F43" s="187"/>
      <c r="G43" s="188"/>
      <c r="H43" s="186" t="str">
        <f>IF(ISBLANK(H6),"",H6)</f>
        <v/>
      </c>
      <c r="I43" s="187"/>
      <c r="J43" s="188"/>
      <c r="K43" s="186" t="str">
        <f>IF(ISBLANK(K6),"",K6)</f>
        <v/>
      </c>
      <c r="L43" s="187"/>
      <c r="M43" s="188"/>
      <c r="N43" s="186" t="str">
        <f>IF(ISBLANK(N6),"",N6)</f>
        <v/>
      </c>
      <c r="O43" s="187"/>
      <c r="P43" s="188"/>
      <c r="Q43" s="179"/>
      <c r="R43" s="180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15.75" customHeight="1" x14ac:dyDescent="0.25">
      <c r="A44" s="117" t="s">
        <v>28</v>
      </c>
      <c r="B44" s="206">
        <f>B23+B40</f>
        <v>0</v>
      </c>
      <c r="C44" s="207"/>
      <c r="D44" s="208"/>
      <c r="E44" s="209">
        <f>E23+E40</f>
        <v>0</v>
      </c>
      <c r="F44" s="210"/>
      <c r="G44" s="211"/>
      <c r="H44" s="209">
        <f>H23+H40</f>
        <v>0</v>
      </c>
      <c r="I44" s="210"/>
      <c r="J44" s="211"/>
      <c r="K44" s="209">
        <f>K23+K40</f>
        <v>0</v>
      </c>
      <c r="L44" s="210"/>
      <c r="M44" s="211"/>
      <c r="N44" s="209">
        <f>N23+N40</f>
        <v>0</v>
      </c>
      <c r="O44" s="210"/>
      <c r="P44" s="211"/>
      <c r="Q44" s="103" t="s">
        <v>18</v>
      </c>
      <c r="R44" s="112">
        <f t="shared" ref="R44:R46" si="4">SUM(B44:P44)</f>
        <v>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15.75" customHeight="1" x14ac:dyDescent="0.25">
      <c r="A45" s="105" t="s">
        <v>29</v>
      </c>
      <c r="B45" s="192">
        <f>B24+B41</f>
        <v>0</v>
      </c>
      <c r="C45" s="190"/>
      <c r="D45" s="191"/>
      <c r="E45" s="189">
        <f>E24+E41</f>
        <v>0</v>
      </c>
      <c r="F45" s="190"/>
      <c r="G45" s="191"/>
      <c r="H45" s="189">
        <f>H24+H41</f>
        <v>0</v>
      </c>
      <c r="I45" s="190"/>
      <c r="J45" s="191"/>
      <c r="K45" s="189">
        <f>K24+K41</f>
        <v>0</v>
      </c>
      <c r="L45" s="190"/>
      <c r="M45" s="191"/>
      <c r="N45" s="189">
        <f>N24+N41</f>
        <v>0</v>
      </c>
      <c r="O45" s="190"/>
      <c r="P45" s="191"/>
      <c r="Q45" s="106" t="s">
        <v>26</v>
      </c>
      <c r="R45" s="114">
        <f t="shared" si="4"/>
        <v>0</v>
      </c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thickBot="1" x14ac:dyDescent="0.3">
      <c r="A46" s="118" t="s">
        <v>30</v>
      </c>
      <c r="B46" s="181">
        <f>B25+B42</f>
        <v>0</v>
      </c>
      <c r="C46" s="182"/>
      <c r="D46" s="185"/>
      <c r="E46" s="184">
        <f>E25+E42</f>
        <v>0</v>
      </c>
      <c r="F46" s="182"/>
      <c r="G46" s="185"/>
      <c r="H46" s="184">
        <f>H25+H42</f>
        <v>0</v>
      </c>
      <c r="I46" s="182"/>
      <c r="J46" s="185"/>
      <c r="K46" s="184">
        <f>K25+K42</f>
        <v>0</v>
      </c>
      <c r="L46" s="182"/>
      <c r="M46" s="185"/>
      <c r="N46" s="184">
        <f>N25+N42</f>
        <v>0</v>
      </c>
      <c r="O46" s="182"/>
      <c r="P46" s="185"/>
      <c r="Q46" s="109" t="s">
        <v>23</v>
      </c>
      <c r="R46" s="116">
        <f t="shared" si="4"/>
        <v>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7.5" hidden="1" customHeight="1" x14ac:dyDescent="0.25">
      <c r="A47" s="119"/>
      <c r="B47" s="186" t="str">
        <f>IF(ISBLANK(B10),"",B10)</f>
        <v/>
      </c>
      <c r="C47" s="187"/>
      <c r="D47" s="188"/>
      <c r="E47" s="186" t="str">
        <f>IF(ISBLANK(E10),"",E10)</f>
        <v/>
      </c>
      <c r="F47" s="187"/>
      <c r="G47" s="188"/>
      <c r="H47" s="186" t="str">
        <f>IF(ISBLANK(H10),"",H10)</f>
        <v/>
      </c>
      <c r="I47" s="187"/>
      <c r="J47" s="188"/>
      <c r="K47" s="186" t="str">
        <f>IF(ISBLANK(K10),"",K10)</f>
        <v/>
      </c>
      <c r="L47" s="187"/>
      <c r="M47" s="188"/>
      <c r="N47" s="186" t="str">
        <f>IF(ISBLANK(N10),"",N10)</f>
        <v/>
      </c>
      <c r="O47" s="187"/>
      <c r="P47" s="188"/>
      <c r="Q47" s="179"/>
      <c r="R47" s="180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15.75" customHeight="1" thickBot="1" x14ac:dyDescent="0.3">
      <c r="A48" s="158" t="s">
        <v>31</v>
      </c>
      <c r="B48" s="203">
        <f>SUM(B44:D46)</f>
        <v>0</v>
      </c>
      <c r="C48" s="187"/>
      <c r="D48" s="188"/>
      <c r="E48" s="198">
        <f>SUM(E44:G46)</f>
        <v>0</v>
      </c>
      <c r="F48" s="196"/>
      <c r="G48" s="197"/>
      <c r="H48" s="198">
        <f>SUM(H44:J46)</f>
        <v>0</v>
      </c>
      <c r="I48" s="196"/>
      <c r="J48" s="197"/>
      <c r="K48" s="198">
        <f>SUM(K44:M46)</f>
        <v>0</v>
      </c>
      <c r="L48" s="196"/>
      <c r="M48" s="197"/>
      <c r="N48" s="198">
        <f>SUM(N44:P46)</f>
        <v>0</v>
      </c>
      <c r="O48" s="196"/>
      <c r="P48" s="197"/>
      <c r="Q48" s="198">
        <f t="shared" ref="Q48:Q49" si="5">SUM(B48:P48)</f>
        <v>0</v>
      </c>
      <c r="R48" s="197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15.75" customHeight="1" thickBot="1" x14ac:dyDescent="0.3">
      <c r="A49" s="120" t="s">
        <v>32</v>
      </c>
      <c r="B49" s="195">
        <f>(B44+B46)/((NETWORKDAYS($P$1,EOMONTH($P$1,0), HO))*8)</f>
        <v>0</v>
      </c>
      <c r="C49" s="196"/>
      <c r="D49" s="197"/>
      <c r="E49" s="195">
        <f>(E44+E46)/((NETWORKDAYS($P$1,EOMONTH($P$1,0), HO))*8)</f>
        <v>0</v>
      </c>
      <c r="F49" s="196"/>
      <c r="G49" s="197"/>
      <c r="H49" s="195">
        <f>(H44+H46)/((NETWORKDAYS($P$1,EOMONTH($P$1,0), HO))*8)</f>
        <v>0</v>
      </c>
      <c r="I49" s="196"/>
      <c r="J49" s="197"/>
      <c r="K49" s="195">
        <f>(K44+K46)/((NETWORKDAYS($P$1,EOMONTH($P$1,0), HO))*8)</f>
        <v>0</v>
      </c>
      <c r="L49" s="196"/>
      <c r="M49" s="197"/>
      <c r="N49" s="195">
        <f>(N44+N46)/((NETWORKDAYS($P$1,EOMONTH($P$1,0), HO))*8)</f>
        <v>0</v>
      </c>
      <c r="O49" s="196"/>
      <c r="P49" s="197"/>
      <c r="Q49" s="195">
        <f t="shared" si="5"/>
        <v>0</v>
      </c>
      <c r="R49" s="197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thickBot="1" x14ac:dyDescent="0.3">
      <c r="A50" s="120" t="s">
        <v>33</v>
      </c>
      <c r="B50" s="198">
        <f>R44+R46</f>
        <v>0</v>
      </c>
      <c r="C50" s="196"/>
      <c r="D50" s="197"/>
      <c r="E50" s="195" t="s">
        <v>21</v>
      </c>
      <c r="F50" s="196"/>
      <c r="G50" s="197"/>
      <c r="H50" s="198">
        <f>R45</f>
        <v>0</v>
      </c>
      <c r="I50" s="196"/>
      <c r="J50" s="197"/>
      <c r="K50" s="198">
        <f>R45</f>
        <v>0</v>
      </c>
      <c r="L50" s="196"/>
      <c r="M50" s="197"/>
      <c r="N50" s="195" t="s">
        <v>34</v>
      </c>
      <c r="O50" s="196"/>
      <c r="P50" s="197"/>
      <c r="Q50" s="198">
        <f>B50+H50</f>
        <v>0</v>
      </c>
      <c r="R50" s="197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24.75" customHeight="1" x14ac:dyDescent="0.25">
      <c r="A51" s="199" t="s">
        <v>35</v>
      </c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29.25" customHeight="1" thickBot="1" x14ac:dyDescent="0.3">
      <c r="A52" s="201" t="s">
        <v>36</v>
      </c>
      <c r="B52" s="201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202" t="s">
        <v>37</v>
      </c>
      <c r="P52" s="202"/>
      <c r="Q52" s="152"/>
      <c r="R52" s="152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15.75" customHeight="1" x14ac:dyDescent="0.25">
      <c r="A53" s="121"/>
      <c r="B53" s="90"/>
      <c r="C53" s="90"/>
      <c r="D53" s="91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15.75" customHeight="1" x14ac:dyDescent="0.25">
      <c r="A54" s="193" t="s">
        <v>38</v>
      </c>
      <c r="B54" s="194"/>
      <c r="C54" s="125"/>
      <c r="D54" s="126"/>
      <c r="E54" s="38"/>
      <c r="F54" s="127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23.25" customHeight="1" x14ac:dyDescent="0.25">
      <c r="A55" s="193" t="s">
        <v>39</v>
      </c>
      <c r="B55" s="194"/>
      <c r="C55" s="123"/>
      <c r="D55" s="124"/>
      <c r="E55" s="123"/>
      <c r="F55" s="12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15.75" customHeight="1" x14ac:dyDescent="0.25">
      <c r="A56" s="122"/>
      <c r="B56" s="38"/>
      <c r="C56" s="38"/>
      <c r="D56" s="52"/>
      <c r="E56" s="38"/>
      <c r="F56" s="127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5.75" customHeight="1" x14ac:dyDescent="0.25">
      <c r="A57" s="51"/>
      <c r="B57" s="38"/>
      <c r="C57" s="38"/>
      <c r="D57" s="52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51"/>
      <c r="B58" s="38"/>
      <c r="C58" s="38"/>
      <c r="D58" s="52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131">
    <mergeCell ref="A51:R51"/>
    <mergeCell ref="A52:B52"/>
    <mergeCell ref="O52:P52"/>
    <mergeCell ref="A54:B54"/>
    <mergeCell ref="A55:B55"/>
    <mergeCell ref="B50:D50"/>
    <mergeCell ref="E50:G50"/>
    <mergeCell ref="H50:J50"/>
    <mergeCell ref="K50:M50"/>
    <mergeCell ref="N50:P50"/>
    <mergeCell ref="Q50:R50"/>
    <mergeCell ref="B49:D49"/>
    <mergeCell ref="E49:G49"/>
    <mergeCell ref="H49:J49"/>
    <mergeCell ref="K49:M49"/>
    <mergeCell ref="N49:P49"/>
    <mergeCell ref="Q49:R49"/>
    <mergeCell ref="Q47:R47"/>
    <mergeCell ref="B48:D48"/>
    <mergeCell ref="E48:G48"/>
    <mergeCell ref="H48:J48"/>
    <mergeCell ref="K48:M48"/>
    <mergeCell ref="N48:P48"/>
    <mergeCell ref="Q48:R48"/>
    <mergeCell ref="B46:D46"/>
    <mergeCell ref="E46:G46"/>
    <mergeCell ref="H46:J46"/>
    <mergeCell ref="K46:M46"/>
    <mergeCell ref="N46:P46"/>
    <mergeCell ref="B47:D47"/>
    <mergeCell ref="E47:G47"/>
    <mergeCell ref="H47:J47"/>
    <mergeCell ref="K47:M47"/>
    <mergeCell ref="N47:P47"/>
    <mergeCell ref="B44:D44"/>
    <mergeCell ref="E44:G44"/>
    <mergeCell ref="H44:J44"/>
    <mergeCell ref="K44:M44"/>
    <mergeCell ref="N44:P44"/>
    <mergeCell ref="B45:D45"/>
    <mergeCell ref="E45:G45"/>
    <mergeCell ref="H45:J45"/>
    <mergeCell ref="K45:M45"/>
    <mergeCell ref="N45:P45"/>
    <mergeCell ref="B43:D43"/>
    <mergeCell ref="E43:G43"/>
    <mergeCell ref="H43:J43"/>
    <mergeCell ref="K43:M43"/>
    <mergeCell ref="N43:P43"/>
    <mergeCell ref="Q43:R43"/>
    <mergeCell ref="B41:D41"/>
    <mergeCell ref="E41:G41"/>
    <mergeCell ref="H41:J41"/>
    <mergeCell ref="K41:M41"/>
    <mergeCell ref="N41:P41"/>
    <mergeCell ref="B42:D42"/>
    <mergeCell ref="E42:G42"/>
    <mergeCell ref="H42:J42"/>
    <mergeCell ref="K42:M42"/>
    <mergeCell ref="N42:P42"/>
    <mergeCell ref="Q39:R39"/>
    <mergeCell ref="B40:D40"/>
    <mergeCell ref="E40:G40"/>
    <mergeCell ref="H40:J40"/>
    <mergeCell ref="K40:M40"/>
    <mergeCell ref="N40:P40"/>
    <mergeCell ref="Q32:R32"/>
    <mergeCell ref="Q33:R33"/>
    <mergeCell ref="Q34:R34"/>
    <mergeCell ref="Q35:R35"/>
    <mergeCell ref="Q36:R36"/>
    <mergeCell ref="Q37:R37"/>
    <mergeCell ref="Q26:R26"/>
    <mergeCell ref="Q28:R28"/>
    <mergeCell ref="Q29:R29"/>
    <mergeCell ref="Q31:R31"/>
    <mergeCell ref="B24:D24"/>
    <mergeCell ref="E24:G24"/>
    <mergeCell ref="H24:J24"/>
    <mergeCell ref="K24:M24"/>
    <mergeCell ref="N24:P24"/>
    <mergeCell ref="B25:D25"/>
    <mergeCell ref="E25:G25"/>
    <mergeCell ref="H25:J25"/>
    <mergeCell ref="K25:M25"/>
    <mergeCell ref="N25:P25"/>
    <mergeCell ref="Q30:R30"/>
    <mergeCell ref="Q27:R27"/>
    <mergeCell ref="Q20:R20"/>
    <mergeCell ref="Q21:R21"/>
    <mergeCell ref="Q22:R22"/>
    <mergeCell ref="B23:D23"/>
    <mergeCell ref="E23:G23"/>
    <mergeCell ref="H23:J23"/>
    <mergeCell ref="K23:M23"/>
    <mergeCell ref="N23:P23"/>
    <mergeCell ref="Q14:R14"/>
    <mergeCell ref="Q15:R15"/>
    <mergeCell ref="Q16:R16"/>
    <mergeCell ref="Q17:R17"/>
    <mergeCell ref="Q18:R18"/>
    <mergeCell ref="Q19:R19"/>
    <mergeCell ref="Q8:R8"/>
    <mergeCell ref="Q9:R9"/>
    <mergeCell ref="Q10:R10"/>
    <mergeCell ref="Q11:R11"/>
    <mergeCell ref="Q12:R12"/>
    <mergeCell ref="Q13:R13"/>
    <mergeCell ref="N5:P5"/>
    <mergeCell ref="B6:D6"/>
    <mergeCell ref="E6:G6"/>
    <mergeCell ref="H6:J6"/>
    <mergeCell ref="K6:M6"/>
    <mergeCell ref="N6:P6"/>
    <mergeCell ref="A1:B1"/>
    <mergeCell ref="C1:O1"/>
    <mergeCell ref="P1:R1"/>
    <mergeCell ref="A2:B2"/>
    <mergeCell ref="C2:R2"/>
    <mergeCell ref="A3:B3"/>
    <mergeCell ref="C3:R3"/>
    <mergeCell ref="B4:D4"/>
    <mergeCell ref="E4:G4"/>
    <mergeCell ref="H4:J4"/>
    <mergeCell ref="K4:M4"/>
    <mergeCell ref="N4:P4"/>
    <mergeCell ref="Q4:R7"/>
    <mergeCell ref="B5:D5"/>
    <mergeCell ref="E5:G5"/>
    <mergeCell ref="H5:J5"/>
    <mergeCell ref="K5:M5"/>
  </mergeCells>
  <conditionalFormatting sqref="B23 K40:N40">
    <cfRule type="cellIs" dxfId="1237" priority="7" operator="greaterThan">
      <formula>0</formula>
    </cfRule>
  </conditionalFormatting>
  <conditionalFormatting sqref="B24 K41:N41">
    <cfRule type="cellIs" dxfId="1236" priority="4" operator="greaterThan">
      <formula>1</formula>
    </cfRule>
  </conditionalFormatting>
  <conditionalFormatting sqref="B24:B25 K42:N42">
    <cfRule type="cellIs" dxfId="1235" priority="6" operator="greaterThan">
      <formula>0</formula>
    </cfRule>
  </conditionalFormatting>
  <conditionalFormatting sqref="B40">
    <cfRule type="cellIs" dxfId="1234" priority="20" operator="greaterThan">
      <formula>0</formula>
    </cfRule>
  </conditionalFormatting>
  <conditionalFormatting sqref="B41">
    <cfRule type="cellIs" dxfId="1233" priority="77" operator="greaterThan">
      <formula>1</formula>
    </cfRule>
    <cfRule type="cellIs" dxfId="1232" priority="17" operator="greaterThan">
      <formula>1</formula>
    </cfRule>
  </conditionalFormatting>
  <conditionalFormatting sqref="B41:B42">
    <cfRule type="cellIs" dxfId="1231" priority="19" operator="greaterThan">
      <formula>0</formula>
    </cfRule>
    <cfRule type="cellIs" dxfId="1230" priority="79" operator="greaterThan">
      <formula>0</formula>
    </cfRule>
  </conditionalFormatting>
  <conditionalFormatting sqref="B44">
    <cfRule type="cellIs" dxfId="1229" priority="14" operator="greaterThan">
      <formula>0</formula>
    </cfRule>
  </conditionalFormatting>
  <conditionalFormatting sqref="B45">
    <cfRule type="cellIs" dxfId="1228" priority="11" operator="greaterThan">
      <formula>1</formula>
    </cfRule>
  </conditionalFormatting>
  <conditionalFormatting sqref="B45:B46">
    <cfRule type="cellIs" dxfId="1227" priority="13" operator="greaterThan">
      <formula>0</formula>
    </cfRule>
  </conditionalFormatting>
  <conditionalFormatting sqref="B25:D25">
    <cfRule type="cellIs" dxfId="1226" priority="52" operator="greaterThan">
      <formula>0</formula>
    </cfRule>
  </conditionalFormatting>
  <conditionalFormatting sqref="B42:D42">
    <cfRule type="cellIs" dxfId="1225" priority="82" operator="greaterThan">
      <formula>0</formula>
    </cfRule>
  </conditionalFormatting>
  <conditionalFormatting sqref="B46:M46">
    <cfRule type="cellIs" dxfId="1224" priority="119" operator="greaterThan">
      <formula>0</formula>
    </cfRule>
  </conditionalFormatting>
  <conditionalFormatting sqref="B48:M48">
    <cfRule type="cellIs" dxfId="1223" priority="16" operator="greaterThan">
      <formula>0</formula>
    </cfRule>
  </conditionalFormatting>
  <conditionalFormatting sqref="B4:P5">
    <cfRule type="containsBlanks" dxfId="1222" priority="1">
      <formula>LEN(TRIM(B4))=0</formula>
    </cfRule>
  </conditionalFormatting>
  <conditionalFormatting sqref="B46:P46 R46">
    <cfRule type="cellIs" dxfId="1221" priority="10" operator="greaterThan">
      <formula>0</formula>
    </cfRule>
  </conditionalFormatting>
  <conditionalFormatting sqref="C2:R3">
    <cfRule type="containsBlanks" dxfId="1220" priority="2">
      <formula>LEN(TRIM(C2))=0</formula>
    </cfRule>
  </conditionalFormatting>
  <conditionalFormatting sqref="E24">
    <cfRule type="cellIs" dxfId="1219" priority="53" operator="greaterThan">
      <formula>1</formula>
    </cfRule>
  </conditionalFormatting>
  <conditionalFormatting sqref="E24:E25">
    <cfRule type="cellIs" dxfId="1218" priority="55" operator="greaterThan">
      <formula>0</formula>
    </cfRule>
  </conditionalFormatting>
  <conditionalFormatting sqref="E40">
    <cfRule type="cellIs" dxfId="1217" priority="25" operator="greaterThan">
      <formula>0</formula>
    </cfRule>
  </conditionalFormatting>
  <conditionalFormatting sqref="E41">
    <cfRule type="cellIs" dxfId="1216" priority="22" operator="greaterThan">
      <formula>1</formula>
    </cfRule>
    <cfRule type="cellIs" dxfId="1215" priority="83" operator="greaterThan">
      <formula>1</formula>
    </cfRule>
    <cfRule type="cellIs" dxfId="1214" priority="88" operator="greaterThan">
      <formula>1</formula>
    </cfRule>
  </conditionalFormatting>
  <conditionalFormatting sqref="E41:E42">
    <cfRule type="cellIs" dxfId="1213" priority="24" operator="greaterThan">
      <formula>0</formula>
    </cfRule>
    <cfRule type="cellIs" dxfId="1212" priority="85" operator="greaterThan">
      <formula>0</formula>
    </cfRule>
    <cfRule type="cellIs" dxfId="1211" priority="90" operator="greaterThan">
      <formula>0</formula>
    </cfRule>
  </conditionalFormatting>
  <conditionalFormatting sqref="E44">
    <cfRule type="cellIs" dxfId="1210" priority="40" operator="greaterThan">
      <formula>0</formula>
    </cfRule>
  </conditionalFormatting>
  <conditionalFormatting sqref="E45">
    <cfRule type="cellIs" dxfId="1209" priority="37" operator="greaterThan">
      <formula>1</formula>
    </cfRule>
  </conditionalFormatting>
  <conditionalFormatting sqref="E45:E46">
    <cfRule type="cellIs" dxfId="1208" priority="39" operator="greaterThan">
      <formula>0</formula>
    </cfRule>
  </conditionalFormatting>
  <conditionalFormatting sqref="E25:G25">
    <cfRule type="cellIs" dxfId="1207" priority="58" operator="greaterThan">
      <formula>0</formula>
    </cfRule>
  </conditionalFormatting>
  <conditionalFormatting sqref="E42:G42">
    <cfRule type="cellIs" dxfId="1206" priority="93" operator="greaterThan">
      <formula>0</formula>
    </cfRule>
  </conditionalFormatting>
  <conditionalFormatting sqref="E23:H23">
    <cfRule type="cellIs" dxfId="1205" priority="56" operator="greaterThan">
      <formula>0</formula>
    </cfRule>
  </conditionalFormatting>
  <conditionalFormatting sqref="E24:M24">
    <cfRule type="cellIs" dxfId="1204" priority="72" operator="greaterThan">
      <formula>0</formula>
    </cfRule>
  </conditionalFormatting>
  <conditionalFormatting sqref="E41:M41">
    <cfRule type="cellIs" dxfId="1203" priority="116" operator="greaterThan">
      <formula>0</formula>
    </cfRule>
  </conditionalFormatting>
  <conditionalFormatting sqref="H24">
    <cfRule type="cellIs" dxfId="1202" priority="59" operator="greaterThan">
      <formula>1</formula>
    </cfRule>
  </conditionalFormatting>
  <conditionalFormatting sqref="H24:H25">
    <cfRule type="cellIs" dxfId="1201" priority="61" operator="greaterThan">
      <formula>0</formula>
    </cfRule>
  </conditionalFormatting>
  <conditionalFormatting sqref="H40">
    <cfRule type="cellIs" dxfId="1200" priority="30" operator="greaterThan">
      <formula>0</formula>
    </cfRule>
  </conditionalFormatting>
  <conditionalFormatting sqref="H41">
    <cfRule type="cellIs" dxfId="1199" priority="27" operator="greaterThan">
      <formula>1</formula>
    </cfRule>
    <cfRule type="cellIs" dxfId="1198" priority="99" operator="greaterThan">
      <formula>1</formula>
    </cfRule>
    <cfRule type="cellIs" dxfId="1197" priority="94" operator="greaterThan">
      <formula>1</formula>
    </cfRule>
  </conditionalFormatting>
  <conditionalFormatting sqref="H41:H42">
    <cfRule type="cellIs" dxfId="1196" priority="29" operator="greaterThan">
      <formula>0</formula>
    </cfRule>
    <cfRule type="cellIs" dxfId="1195" priority="96" operator="greaterThan">
      <formula>0</formula>
    </cfRule>
    <cfRule type="cellIs" dxfId="1194" priority="101" operator="greaterThan">
      <formula>0</formula>
    </cfRule>
  </conditionalFormatting>
  <conditionalFormatting sqref="H44">
    <cfRule type="cellIs" dxfId="1193" priority="45" operator="greaterThan">
      <formula>0</formula>
    </cfRule>
  </conditionalFormatting>
  <conditionalFormatting sqref="H45">
    <cfRule type="cellIs" dxfId="1192" priority="42" operator="greaterThan">
      <formula>1</formula>
    </cfRule>
  </conditionalFormatting>
  <conditionalFormatting sqref="H45:H46">
    <cfRule type="cellIs" dxfId="1191" priority="44" operator="greaterThan">
      <formula>0</formula>
    </cfRule>
  </conditionalFormatting>
  <conditionalFormatting sqref="H25:J25">
    <cfRule type="cellIs" dxfId="1190" priority="64" operator="greaterThan">
      <formula>0</formula>
    </cfRule>
  </conditionalFormatting>
  <conditionalFormatting sqref="H42:J42">
    <cfRule type="cellIs" dxfId="1189" priority="104" operator="greaterThan">
      <formula>0</formula>
    </cfRule>
  </conditionalFormatting>
  <conditionalFormatting sqref="K24">
    <cfRule type="cellIs" dxfId="1188" priority="66" operator="greaterThan">
      <formula>1</formula>
    </cfRule>
  </conditionalFormatting>
  <conditionalFormatting sqref="K24:K25">
    <cfRule type="cellIs" dxfId="1187" priority="68" operator="greaterThan">
      <formula>0</formula>
    </cfRule>
  </conditionalFormatting>
  <conditionalFormatting sqref="K41">
    <cfRule type="cellIs" dxfId="1186" priority="105" operator="greaterThan">
      <formula>1</formula>
    </cfRule>
    <cfRule type="cellIs" dxfId="1185" priority="110" operator="greaterThan">
      <formula>1</formula>
    </cfRule>
  </conditionalFormatting>
  <conditionalFormatting sqref="K41:K42">
    <cfRule type="cellIs" dxfId="1184" priority="34" operator="greaterThan">
      <formula>0</formula>
    </cfRule>
    <cfRule type="cellIs" dxfId="1183" priority="107" operator="greaterThan">
      <formula>0</formula>
    </cfRule>
    <cfRule type="cellIs" dxfId="1182" priority="112" operator="greaterThan">
      <formula>0</formula>
    </cfRule>
  </conditionalFormatting>
  <conditionalFormatting sqref="K44">
    <cfRule type="cellIs" dxfId="1181" priority="50" operator="greaterThan">
      <formula>0</formula>
    </cfRule>
  </conditionalFormatting>
  <conditionalFormatting sqref="K45">
    <cfRule type="cellIs" dxfId="1180" priority="47" operator="greaterThan">
      <formula>1</formula>
    </cfRule>
  </conditionalFormatting>
  <conditionalFormatting sqref="K45:K46">
    <cfRule type="cellIs" dxfId="1179" priority="49" operator="greaterThan">
      <formula>0</formula>
    </cfRule>
  </conditionalFormatting>
  <conditionalFormatting sqref="K23:M23">
    <cfRule type="cellIs" dxfId="1178" priority="69" operator="greaterThan">
      <formula>0</formula>
    </cfRule>
  </conditionalFormatting>
  <conditionalFormatting sqref="K25:M25">
    <cfRule type="cellIs" dxfId="1177" priority="71" operator="greaterThan">
      <formula>0</formula>
    </cfRule>
  </conditionalFormatting>
  <conditionalFormatting sqref="K42:M42">
    <cfRule type="cellIs" dxfId="1176" priority="115" operator="greaterThan">
      <formula>0</formula>
    </cfRule>
  </conditionalFormatting>
  <conditionalFormatting sqref="K45:M45">
    <cfRule type="cellIs" dxfId="1175" priority="120" operator="greaterThan">
      <formula>0</formula>
    </cfRule>
  </conditionalFormatting>
  <conditionalFormatting sqref="K45:P45">
    <cfRule type="cellIs" dxfId="1174" priority="9" operator="greaterThan">
      <formula>0</formula>
    </cfRule>
  </conditionalFormatting>
  <pageMargins left="0.25" right="0.25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C737-DC68-4D3A-8E3B-B9F17A167264}">
  <sheetPr>
    <outlinePr summaryBelow="0" summaryRight="0"/>
    <pageSetUpPr fitToPage="1"/>
  </sheetPr>
  <dimension ref="A1:AC999"/>
  <sheetViews>
    <sheetView zoomScale="89" zoomScaleNormal="100" workbookViewId="0">
      <selection activeCell="A15" sqref="A15"/>
    </sheetView>
  </sheetViews>
  <sheetFormatPr defaultColWidth="14.44140625" defaultRowHeight="15" customHeight="1" x14ac:dyDescent="0.25"/>
  <cols>
    <col min="1" max="1" width="24" customWidth="1"/>
    <col min="2" max="16" width="5.33203125" customWidth="1"/>
    <col min="17" max="17" width="17.5546875" bestFit="1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41.25" customHeight="1" thickBot="1" x14ac:dyDescent="0.35">
      <c r="A1" s="228" t="s">
        <v>0</v>
      </c>
      <c r="B1" s="229"/>
      <c r="C1" s="230" t="s">
        <v>1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2">
        <v>46082</v>
      </c>
      <c r="Q1" s="231"/>
      <c r="R1" s="231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233" t="s">
        <v>2</v>
      </c>
      <c r="B2" s="215"/>
      <c r="C2" s="225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7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8" thickBot="1" x14ac:dyDescent="0.35">
      <c r="A3" s="247" t="s">
        <v>3</v>
      </c>
      <c r="B3" s="183"/>
      <c r="C3" s="234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6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54" customHeight="1" x14ac:dyDescent="0.25">
      <c r="A4" s="92" t="s">
        <v>4</v>
      </c>
      <c r="B4" s="240"/>
      <c r="C4" s="241"/>
      <c r="D4" s="242"/>
      <c r="E4" s="240"/>
      <c r="F4" s="241"/>
      <c r="G4" s="242"/>
      <c r="H4" s="240"/>
      <c r="I4" s="241"/>
      <c r="J4" s="242"/>
      <c r="K4" s="240"/>
      <c r="L4" s="241"/>
      <c r="M4" s="242"/>
      <c r="N4" s="240"/>
      <c r="O4" s="241"/>
      <c r="P4" s="242"/>
      <c r="Q4" s="243" t="s">
        <v>5</v>
      </c>
      <c r="R4" s="244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93" t="s">
        <v>6</v>
      </c>
      <c r="B5" s="237"/>
      <c r="C5" s="238"/>
      <c r="D5" s="239"/>
      <c r="E5" s="237"/>
      <c r="F5" s="238"/>
      <c r="G5" s="239"/>
      <c r="H5" s="237"/>
      <c r="I5" s="238"/>
      <c r="J5" s="239"/>
      <c r="K5" s="237"/>
      <c r="L5" s="238"/>
      <c r="M5" s="239"/>
      <c r="N5" s="237"/>
      <c r="O5" s="238"/>
      <c r="P5" s="239"/>
      <c r="Q5" s="245"/>
      <c r="R5" s="180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thickBot="1" x14ac:dyDescent="0.3">
      <c r="A6" s="94" t="s">
        <v>7</v>
      </c>
      <c r="B6" s="237"/>
      <c r="C6" s="238"/>
      <c r="D6" s="239"/>
      <c r="E6" s="237"/>
      <c r="F6" s="238"/>
      <c r="G6" s="239"/>
      <c r="H6" s="237"/>
      <c r="I6" s="238"/>
      <c r="J6" s="239"/>
      <c r="K6" s="237"/>
      <c r="L6" s="238"/>
      <c r="M6" s="239"/>
      <c r="N6" s="237"/>
      <c r="O6" s="238"/>
      <c r="P6" s="239"/>
      <c r="Q6" s="245"/>
      <c r="R6" s="180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thickBot="1" x14ac:dyDescent="0.3">
      <c r="A7" s="153"/>
      <c r="B7" s="95" t="s">
        <v>8</v>
      </c>
      <c r="C7" s="96" t="s">
        <v>9</v>
      </c>
      <c r="D7" s="97" t="s">
        <v>10</v>
      </c>
      <c r="E7" s="95" t="s">
        <v>8</v>
      </c>
      <c r="F7" s="96" t="s">
        <v>9</v>
      </c>
      <c r="G7" s="97" t="s">
        <v>10</v>
      </c>
      <c r="H7" s="95" t="s">
        <v>8</v>
      </c>
      <c r="I7" s="96" t="s">
        <v>9</v>
      </c>
      <c r="J7" s="97" t="s">
        <v>10</v>
      </c>
      <c r="K7" s="95" t="s">
        <v>8</v>
      </c>
      <c r="L7" s="96" t="s">
        <v>9</v>
      </c>
      <c r="M7" s="97" t="s">
        <v>10</v>
      </c>
      <c r="N7" s="95" t="s">
        <v>8</v>
      </c>
      <c r="O7" s="96" t="s">
        <v>9</v>
      </c>
      <c r="P7" s="97" t="s">
        <v>10</v>
      </c>
      <c r="Q7" s="246"/>
      <c r="R7" s="188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8" x14ac:dyDescent="0.25">
      <c r="A8" s="98">
        <v>46082</v>
      </c>
      <c r="B8" s="140"/>
      <c r="C8" s="141"/>
      <c r="D8" s="142"/>
      <c r="E8" s="143"/>
      <c r="F8" s="141"/>
      <c r="G8" s="142"/>
      <c r="H8" s="143"/>
      <c r="I8" s="141"/>
      <c r="J8" s="142"/>
      <c r="K8" s="143"/>
      <c r="L8" s="141"/>
      <c r="M8" s="142"/>
      <c r="N8" s="143"/>
      <c r="O8" s="141"/>
      <c r="P8" s="142"/>
      <c r="Q8" s="248"/>
      <c r="R8" s="20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8" x14ac:dyDescent="0.25">
      <c r="A9" s="99">
        <f t="shared" ref="A9:A22" si="0">A8+1</f>
        <v>46083</v>
      </c>
      <c r="B9" s="133"/>
      <c r="C9" s="134"/>
      <c r="D9" s="135"/>
      <c r="E9" s="136"/>
      <c r="F9" s="134"/>
      <c r="G9" s="135"/>
      <c r="H9" s="136"/>
      <c r="I9" s="134"/>
      <c r="J9" s="135"/>
      <c r="K9" s="136"/>
      <c r="L9" s="134"/>
      <c r="M9" s="135"/>
      <c r="N9" s="136"/>
      <c r="O9" s="134"/>
      <c r="P9" s="135"/>
      <c r="Q9" s="224"/>
      <c r="R9" s="191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3.8" x14ac:dyDescent="0.25">
      <c r="A10" s="100">
        <f t="shared" si="0"/>
        <v>46084</v>
      </c>
      <c r="B10" s="140"/>
      <c r="C10" s="137"/>
      <c r="D10" s="138"/>
      <c r="E10" s="139"/>
      <c r="F10" s="137"/>
      <c r="G10" s="138"/>
      <c r="H10" s="139"/>
      <c r="I10" s="137"/>
      <c r="J10" s="138"/>
      <c r="K10" s="139"/>
      <c r="L10" s="137"/>
      <c r="M10" s="138"/>
      <c r="N10" s="139"/>
      <c r="O10" s="137"/>
      <c r="P10" s="138"/>
      <c r="Q10" s="204"/>
      <c r="R10" s="191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8" x14ac:dyDescent="0.25">
      <c r="A11" s="100">
        <f t="shared" si="0"/>
        <v>46085</v>
      </c>
      <c r="B11" s="140"/>
      <c r="C11" s="137"/>
      <c r="D11" s="138"/>
      <c r="E11" s="139"/>
      <c r="F11" s="137"/>
      <c r="G11" s="138"/>
      <c r="H11" s="139"/>
      <c r="I11" s="137"/>
      <c r="J11" s="138"/>
      <c r="K11" s="139"/>
      <c r="L11" s="137"/>
      <c r="M11" s="138"/>
      <c r="N11" s="139"/>
      <c r="O11" s="137"/>
      <c r="P11" s="138"/>
      <c r="Q11" s="204"/>
      <c r="R11" s="191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8" x14ac:dyDescent="0.25">
      <c r="A12" s="100">
        <f t="shared" si="0"/>
        <v>46086</v>
      </c>
      <c r="B12" s="140"/>
      <c r="C12" s="137"/>
      <c r="D12" s="138"/>
      <c r="E12" s="139"/>
      <c r="F12" s="137"/>
      <c r="G12" s="138"/>
      <c r="H12" s="139"/>
      <c r="I12" s="137"/>
      <c r="J12" s="138"/>
      <c r="K12" s="139"/>
      <c r="L12" s="137"/>
      <c r="M12" s="138"/>
      <c r="N12" s="139"/>
      <c r="O12" s="137"/>
      <c r="P12" s="138"/>
      <c r="Q12" s="204"/>
      <c r="R12" s="191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8" x14ac:dyDescent="0.25">
      <c r="A13" s="100">
        <f t="shared" si="0"/>
        <v>46087</v>
      </c>
      <c r="B13" s="140"/>
      <c r="C13" s="137"/>
      <c r="D13" s="138"/>
      <c r="E13" s="139"/>
      <c r="F13" s="137"/>
      <c r="G13" s="138"/>
      <c r="H13" s="139"/>
      <c r="I13" s="137"/>
      <c r="J13" s="138"/>
      <c r="K13" s="139"/>
      <c r="L13" s="137"/>
      <c r="M13" s="138"/>
      <c r="N13" s="139"/>
      <c r="O13" s="137"/>
      <c r="P13" s="138"/>
      <c r="Q13" s="204"/>
      <c r="R13" s="191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8" x14ac:dyDescent="0.25">
      <c r="A14" s="100">
        <f t="shared" si="0"/>
        <v>46088</v>
      </c>
      <c r="B14" s="140"/>
      <c r="C14" s="137"/>
      <c r="D14" s="138"/>
      <c r="E14" s="139"/>
      <c r="F14" s="137"/>
      <c r="G14" s="138"/>
      <c r="H14" s="139"/>
      <c r="I14" s="137"/>
      <c r="J14" s="138"/>
      <c r="K14" s="139"/>
      <c r="L14" s="137"/>
      <c r="M14" s="138"/>
      <c r="N14" s="139"/>
      <c r="O14" s="137"/>
      <c r="P14" s="138"/>
      <c r="Q14" s="204"/>
      <c r="R14" s="191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8" x14ac:dyDescent="0.25">
      <c r="A15" s="100">
        <f t="shared" si="0"/>
        <v>46089</v>
      </c>
      <c r="B15" s="140"/>
      <c r="C15" s="137"/>
      <c r="D15" s="138"/>
      <c r="E15" s="139"/>
      <c r="F15" s="137"/>
      <c r="G15" s="138"/>
      <c r="H15" s="139"/>
      <c r="I15" s="137"/>
      <c r="J15" s="138"/>
      <c r="K15" s="139"/>
      <c r="L15" s="137"/>
      <c r="M15" s="138"/>
      <c r="N15" s="139"/>
      <c r="O15" s="137"/>
      <c r="P15" s="138"/>
      <c r="Q15" s="204" t="s">
        <v>43</v>
      </c>
      <c r="R15" s="191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8" x14ac:dyDescent="0.25">
      <c r="A16" s="100">
        <f t="shared" si="0"/>
        <v>46090</v>
      </c>
      <c r="B16" s="140"/>
      <c r="C16" s="137"/>
      <c r="D16" s="138"/>
      <c r="E16" s="139"/>
      <c r="F16" s="137"/>
      <c r="G16" s="138"/>
      <c r="H16" s="139"/>
      <c r="I16" s="137"/>
      <c r="J16" s="138"/>
      <c r="K16" s="139"/>
      <c r="L16" s="137"/>
      <c r="M16" s="138"/>
      <c r="N16" s="139"/>
      <c r="O16" s="137"/>
      <c r="P16" s="138"/>
      <c r="Q16" s="204"/>
      <c r="R16" s="191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4.4" x14ac:dyDescent="0.3">
      <c r="A17" s="100">
        <f t="shared" si="0"/>
        <v>46091</v>
      </c>
      <c r="B17" s="140"/>
      <c r="C17" s="137"/>
      <c r="D17" s="138"/>
      <c r="E17" s="139"/>
      <c r="F17" s="137"/>
      <c r="G17" s="138"/>
      <c r="H17" s="139"/>
      <c r="I17" s="137"/>
      <c r="J17" s="138"/>
      <c r="K17" s="139"/>
      <c r="L17" s="137"/>
      <c r="M17" s="138"/>
      <c r="N17" s="139"/>
      <c r="O17" s="137"/>
      <c r="P17" s="138"/>
      <c r="Q17" s="204"/>
      <c r="R17" s="191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4.4" x14ac:dyDescent="0.3">
      <c r="A18" s="100">
        <f t="shared" si="0"/>
        <v>46092</v>
      </c>
      <c r="B18" s="140"/>
      <c r="C18" s="137"/>
      <c r="D18" s="138"/>
      <c r="E18" s="139"/>
      <c r="F18" s="137"/>
      <c r="G18" s="138"/>
      <c r="H18" s="139"/>
      <c r="I18" s="137"/>
      <c r="J18" s="138"/>
      <c r="K18" s="139"/>
      <c r="L18" s="137"/>
      <c r="M18" s="138"/>
      <c r="N18" s="139"/>
      <c r="O18" s="137"/>
      <c r="P18" s="138"/>
      <c r="Q18" s="204"/>
      <c r="R18" s="191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4.4" x14ac:dyDescent="0.3">
      <c r="A19" s="100">
        <f t="shared" si="0"/>
        <v>46093</v>
      </c>
      <c r="B19" s="140"/>
      <c r="C19" s="137"/>
      <c r="D19" s="138"/>
      <c r="E19" s="139"/>
      <c r="F19" s="137"/>
      <c r="G19" s="138"/>
      <c r="H19" s="139"/>
      <c r="I19" s="137"/>
      <c r="J19" s="138"/>
      <c r="K19" s="139"/>
      <c r="L19" s="137"/>
      <c r="M19" s="138"/>
      <c r="N19" s="139"/>
      <c r="O19" s="137"/>
      <c r="P19" s="138"/>
      <c r="Q19" s="204"/>
      <c r="R19" s="191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4.4" x14ac:dyDescent="0.3">
      <c r="A20" s="100">
        <f t="shared" si="0"/>
        <v>46094</v>
      </c>
      <c r="B20" s="140"/>
      <c r="C20" s="137"/>
      <c r="D20" s="138"/>
      <c r="E20" s="139"/>
      <c r="F20" s="137"/>
      <c r="G20" s="138"/>
      <c r="H20" s="139"/>
      <c r="I20" s="137"/>
      <c r="J20" s="138"/>
      <c r="K20" s="139"/>
      <c r="L20" s="137"/>
      <c r="M20" s="138"/>
      <c r="N20" s="139"/>
      <c r="O20" s="137"/>
      <c r="P20" s="138"/>
      <c r="Q20" s="204"/>
      <c r="R20" s="191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100">
        <f t="shared" si="0"/>
        <v>46095</v>
      </c>
      <c r="B21" s="140"/>
      <c r="C21" s="137"/>
      <c r="D21" s="138"/>
      <c r="E21" s="139"/>
      <c r="F21" s="137"/>
      <c r="G21" s="138"/>
      <c r="H21" s="139"/>
      <c r="I21" s="137"/>
      <c r="J21" s="138"/>
      <c r="K21" s="139"/>
      <c r="L21" s="137"/>
      <c r="M21" s="138"/>
      <c r="N21" s="139"/>
      <c r="O21" s="137"/>
      <c r="P21" s="138"/>
      <c r="Q21" s="204"/>
      <c r="R21" s="191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thickBot="1" x14ac:dyDescent="0.35">
      <c r="A22" s="101">
        <f t="shared" si="0"/>
        <v>46096</v>
      </c>
      <c r="B22" s="140"/>
      <c r="C22" s="154"/>
      <c r="D22" s="155"/>
      <c r="E22" s="156"/>
      <c r="F22" s="154"/>
      <c r="G22" s="155"/>
      <c r="H22" s="156"/>
      <c r="I22" s="154"/>
      <c r="J22" s="155"/>
      <c r="K22" s="156"/>
      <c r="L22" s="154"/>
      <c r="M22" s="155"/>
      <c r="N22" s="156"/>
      <c r="O22" s="154"/>
      <c r="P22" s="155"/>
      <c r="Q22" s="212"/>
      <c r="R22" s="213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102" t="s">
        <v>17</v>
      </c>
      <c r="B23" s="214">
        <f>SUM(B8:B22)</f>
        <v>0</v>
      </c>
      <c r="C23" s="207"/>
      <c r="D23" s="208"/>
      <c r="E23" s="214">
        <f>SUM(E8:E22)</f>
        <v>0</v>
      </c>
      <c r="F23" s="207"/>
      <c r="G23" s="208"/>
      <c r="H23" s="214">
        <f>SUM(H8:H22)</f>
        <v>0</v>
      </c>
      <c r="I23" s="207"/>
      <c r="J23" s="208"/>
      <c r="K23" s="214">
        <f>SUM(K8:K22)</f>
        <v>0</v>
      </c>
      <c r="L23" s="207"/>
      <c r="M23" s="208"/>
      <c r="N23" s="214">
        <f>SUM(N8:N22)</f>
        <v>0</v>
      </c>
      <c r="O23" s="207"/>
      <c r="P23" s="208"/>
      <c r="Q23" s="103" t="s">
        <v>18</v>
      </c>
      <c r="R23" s="104">
        <f t="shared" ref="R23:R25" si="1">SUM(B23:P23)</f>
        <v>0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25">
      <c r="A24" s="105" t="s">
        <v>20</v>
      </c>
      <c r="B24" s="192">
        <f>SUM(C8:C23)</f>
        <v>0</v>
      </c>
      <c r="C24" s="190"/>
      <c r="D24" s="191"/>
      <c r="E24" s="192">
        <f>SUM(F8:F23)</f>
        <v>0</v>
      </c>
      <c r="F24" s="190"/>
      <c r="G24" s="191"/>
      <c r="H24" s="192">
        <f>SUM(I8:I23)</f>
        <v>0</v>
      </c>
      <c r="I24" s="190"/>
      <c r="J24" s="191"/>
      <c r="K24" s="192">
        <f>SUM(L8:L23)</f>
        <v>0</v>
      </c>
      <c r="L24" s="190"/>
      <c r="M24" s="191"/>
      <c r="N24" s="192">
        <f>SUM(O8:O23)</f>
        <v>0</v>
      </c>
      <c r="O24" s="190"/>
      <c r="P24" s="191"/>
      <c r="Q24" s="106" t="s">
        <v>21</v>
      </c>
      <c r="R24" s="107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thickBot="1" x14ac:dyDescent="0.3">
      <c r="A25" s="108" t="s">
        <v>22</v>
      </c>
      <c r="B25" s="181">
        <f>SUM(D8:D22)</f>
        <v>0</v>
      </c>
      <c r="C25" s="182"/>
      <c r="D25" s="185"/>
      <c r="E25" s="181">
        <f>SUM(G8:G22)</f>
        <v>0</v>
      </c>
      <c r="F25" s="182"/>
      <c r="G25" s="185"/>
      <c r="H25" s="181">
        <f>SUM(J8:J22)</f>
        <v>0</v>
      </c>
      <c r="I25" s="182"/>
      <c r="J25" s="185"/>
      <c r="K25" s="181">
        <f>SUM(M8:M22)</f>
        <v>0</v>
      </c>
      <c r="L25" s="182"/>
      <c r="M25" s="185"/>
      <c r="N25" s="181">
        <f>SUM(P8:P22)</f>
        <v>0</v>
      </c>
      <c r="O25" s="182"/>
      <c r="P25" s="185"/>
      <c r="Q25" s="109" t="s">
        <v>23</v>
      </c>
      <c r="R25" s="110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98">
        <f>A22+1</f>
        <v>46097</v>
      </c>
      <c r="B26" s="151"/>
      <c r="C26" s="159"/>
      <c r="D26" s="160"/>
      <c r="E26" s="161"/>
      <c r="F26" s="159"/>
      <c r="G26" s="160"/>
      <c r="H26" s="161"/>
      <c r="I26" s="159"/>
      <c r="J26" s="160"/>
      <c r="K26" s="161"/>
      <c r="L26" s="159"/>
      <c r="M26" s="160"/>
      <c r="N26" s="161"/>
      <c r="O26" s="159"/>
      <c r="P26" s="160"/>
      <c r="Q26" s="250"/>
      <c r="R26" s="251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100">
        <f t="shared" ref="A27:A41" si="2">A26+1</f>
        <v>46098</v>
      </c>
      <c r="B27" s="151"/>
      <c r="C27" s="137"/>
      <c r="D27" s="138"/>
      <c r="E27" s="139"/>
      <c r="F27" s="137"/>
      <c r="G27" s="138"/>
      <c r="H27" s="139"/>
      <c r="I27" s="137"/>
      <c r="J27" s="138"/>
      <c r="K27" s="139"/>
      <c r="L27" s="137"/>
      <c r="M27" s="138"/>
      <c r="N27" s="139"/>
      <c r="O27" s="137"/>
      <c r="P27" s="138"/>
      <c r="Q27" s="205" t="s">
        <v>44</v>
      </c>
      <c r="R27" s="191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100">
        <f t="shared" si="2"/>
        <v>46099</v>
      </c>
      <c r="B28" s="151"/>
      <c r="C28" s="137"/>
      <c r="D28" s="138"/>
      <c r="E28" s="139"/>
      <c r="F28" s="137"/>
      <c r="G28" s="138"/>
      <c r="H28" s="139"/>
      <c r="I28" s="137"/>
      <c r="J28" s="138"/>
      <c r="K28" s="139"/>
      <c r="L28" s="137"/>
      <c r="M28" s="138"/>
      <c r="N28" s="139"/>
      <c r="O28" s="137"/>
      <c r="P28" s="138"/>
      <c r="Q28" s="204"/>
      <c r="R28" s="191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100">
        <f t="shared" si="2"/>
        <v>46100</v>
      </c>
      <c r="B29" s="151"/>
      <c r="C29" s="137"/>
      <c r="D29" s="138"/>
      <c r="E29" s="139"/>
      <c r="F29" s="137"/>
      <c r="G29" s="138"/>
      <c r="H29" s="139"/>
      <c r="I29" s="137"/>
      <c r="J29" s="138"/>
      <c r="K29" s="139"/>
      <c r="L29" s="137"/>
      <c r="M29" s="138"/>
      <c r="N29" s="139"/>
      <c r="O29" s="137"/>
      <c r="P29" s="138"/>
      <c r="Q29" s="204"/>
      <c r="R29" s="191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100">
        <f t="shared" si="2"/>
        <v>46101</v>
      </c>
      <c r="B30" s="151"/>
      <c r="C30" s="137"/>
      <c r="D30" s="138"/>
      <c r="E30" s="139"/>
      <c r="F30" s="137"/>
      <c r="G30" s="138"/>
      <c r="H30" s="139"/>
      <c r="I30" s="137"/>
      <c r="J30" s="138"/>
      <c r="K30" s="139"/>
      <c r="L30" s="137"/>
      <c r="M30" s="138"/>
      <c r="N30" s="139"/>
      <c r="O30" s="137"/>
      <c r="P30" s="138"/>
      <c r="Q30" s="204"/>
      <c r="R30" s="191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100">
        <f t="shared" si="2"/>
        <v>46102</v>
      </c>
      <c r="B31" s="151"/>
      <c r="C31" s="137"/>
      <c r="D31" s="138"/>
      <c r="E31" s="139"/>
      <c r="F31" s="137"/>
      <c r="G31" s="138"/>
      <c r="H31" s="139"/>
      <c r="I31" s="137"/>
      <c r="J31" s="138"/>
      <c r="K31" s="139"/>
      <c r="L31" s="137"/>
      <c r="M31" s="138"/>
      <c r="N31" s="139"/>
      <c r="O31" s="137"/>
      <c r="P31" s="138"/>
      <c r="Q31" s="221"/>
      <c r="R31" s="191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100">
        <f t="shared" si="2"/>
        <v>46103</v>
      </c>
      <c r="B32" s="151"/>
      <c r="C32" s="137"/>
      <c r="D32" s="138"/>
      <c r="E32" s="139"/>
      <c r="F32" s="137"/>
      <c r="G32" s="138"/>
      <c r="H32" s="139"/>
      <c r="I32" s="137"/>
      <c r="J32" s="138"/>
      <c r="K32" s="139"/>
      <c r="L32" s="137"/>
      <c r="M32" s="138"/>
      <c r="N32" s="139"/>
      <c r="O32" s="137"/>
      <c r="P32" s="138"/>
      <c r="Q32" s="204"/>
      <c r="R32" s="191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100">
        <f t="shared" si="2"/>
        <v>46104</v>
      </c>
      <c r="B33" s="151"/>
      <c r="C33" s="137"/>
      <c r="D33" s="138"/>
      <c r="E33" s="139"/>
      <c r="F33" s="137"/>
      <c r="G33" s="138"/>
      <c r="H33" s="139"/>
      <c r="I33" s="137"/>
      <c r="J33" s="138"/>
      <c r="K33" s="139"/>
      <c r="L33" s="137"/>
      <c r="M33" s="138"/>
      <c r="N33" s="139"/>
      <c r="O33" s="137"/>
      <c r="P33" s="138"/>
      <c r="Q33" s="205"/>
      <c r="R33" s="191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100">
        <f t="shared" si="2"/>
        <v>46105</v>
      </c>
      <c r="B34" s="151"/>
      <c r="C34" s="137"/>
      <c r="D34" s="138"/>
      <c r="E34" s="139"/>
      <c r="F34" s="137"/>
      <c r="G34" s="138"/>
      <c r="H34" s="139"/>
      <c r="I34" s="137"/>
      <c r="J34" s="138"/>
      <c r="K34" s="139"/>
      <c r="L34" s="137"/>
      <c r="M34" s="138"/>
      <c r="N34" s="139"/>
      <c r="O34" s="137"/>
      <c r="P34" s="138"/>
      <c r="Q34" s="204"/>
      <c r="R34" s="191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100">
        <f t="shared" si="2"/>
        <v>46106</v>
      </c>
      <c r="B35" s="151"/>
      <c r="C35" s="137"/>
      <c r="D35" s="138"/>
      <c r="E35" s="139"/>
      <c r="F35" s="137"/>
      <c r="G35" s="138"/>
      <c r="H35" s="139"/>
      <c r="I35" s="137"/>
      <c r="J35" s="138"/>
      <c r="K35" s="139"/>
      <c r="L35" s="137"/>
      <c r="M35" s="138"/>
      <c r="N35" s="139"/>
      <c r="O35" s="137"/>
      <c r="P35" s="138"/>
      <c r="Q35" s="204"/>
      <c r="R35" s="191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100">
        <f t="shared" si="2"/>
        <v>46107</v>
      </c>
      <c r="B36" s="151"/>
      <c r="C36" s="137"/>
      <c r="D36" s="138"/>
      <c r="E36" s="139"/>
      <c r="F36" s="137"/>
      <c r="G36" s="138"/>
      <c r="H36" s="139"/>
      <c r="I36" s="137"/>
      <c r="J36" s="138"/>
      <c r="K36" s="139"/>
      <c r="L36" s="137"/>
      <c r="M36" s="138"/>
      <c r="N36" s="139"/>
      <c r="O36" s="137"/>
      <c r="P36" s="138"/>
      <c r="Q36" s="205"/>
      <c r="R36" s="191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100">
        <f t="shared" si="2"/>
        <v>46108</v>
      </c>
      <c r="B37" s="151"/>
      <c r="C37" s="137"/>
      <c r="D37" s="138"/>
      <c r="E37" s="139"/>
      <c r="F37" s="137"/>
      <c r="G37" s="138"/>
      <c r="H37" s="139"/>
      <c r="I37" s="137"/>
      <c r="J37" s="138"/>
      <c r="K37" s="139"/>
      <c r="L37" s="137"/>
      <c r="M37" s="138"/>
      <c r="N37" s="139"/>
      <c r="O37" s="137"/>
      <c r="P37" s="138"/>
      <c r="Q37" s="204"/>
      <c r="R37" s="191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100">
        <f t="shared" si="2"/>
        <v>46109</v>
      </c>
      <c r="B38" s="151"/>
      <c r="C38" s="137"/>
      <c r="D38" s="138"/>
      <c r="E38" s="139"/>
      <c r="F38" s="137"/>
      <c r="G38" s="138"/>
      <c r="H38" s="139"/>
      <c r="I38" s="137"/>
      <c r="J38" s="138"/>
      <c r="K38" s="139"/>
      <c r="L38" s="137"/>
      <c r="M38" s="138"/>
      <c r="N38" s="139"/>
      <c r="O38" s="137"/>
      <c r="P38" s="138"/>
      <c r="Q38" s="204"/>
      <c r="R38" s="191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100">
        <f t="shared" si="2"/>
        <v>46110</v>
      </c>
      <c r="B39" s="151"/>
      <c r="C39" s="137"/>
      <c r="D39" s="138"/>
      <c r="E39" s="139"/>
      <c r="F39" s="137"/>
      <c r="G39" s="138"/>
      <c r="H39" s="139"/>
      <c r="I39" s="137"/>
      <c r="J39" s="138"/>
      <c r="K39" s="139"/>
      <c r="L39" s="137"/>
      <c r="M39" s="138"/>
      <c r="N39" s="139"/>
      <c r="O39" s="137"/>
      <c r="P39" s="138"/>
      <c r="Q39" s="204"/>
      <c r="R39" s="191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x14ac:dyDescent="0.25">
      <c r="A40" s="100">
        <f t="shared" si="2"/>
        <v>46111</v>
      </c>
      <c r="B40" s="151"/>
      <c r="C40" s="137"/>
      <c r="D40" s="138"/>
      <c r="E40" s="139"/>
      <c r="F40" s="137"/>
      <c r="G40" s="138"/>
      <c r="H40" s="139"/>
      <c r="I40" s="137"/>
      <c r="J40" s="138"/>
      <c r="K40" s="139"/>
      <c r="L40" s="137"/>
      <c r="M40" s="138"/>
      <c r="N40" s="139"/>
      <c r="O40" s="137"/>
      <c r="P40" s="138"/>
      <c r="Q40" s="204"/>
      <c r="R40" s="191"/>
      <c r="S40" s="6"/>
      <c r="T40" s="6"/>
      <c r="U40" s="38"/>
      <c r="V40" s="38"/>
      <c r="W40" s="6"/>
      <c r="X40" s="6"/>
      <c r="Y40" s="6"/>
      <c r="Z40" s="6"/>
      <c r="AA40" s="6"/>
      <c r="AB40" s="6"/>
      <c r="AC40" s="6"/>
    </row>
    <row r="41" spans="1:29" ht="15.75" customHeight="1" thickBot="1" x14ac:dyDescent="0.3">
      <c r="A41" s="100">
        <f t="shared" si="2"/>
        <v>46112</v>
      </c>
      <c r="B41" s="151"/>
      <c r="C41" s="154"/>
      <c r="D41" s="155"/>
      <c r="E41" s="156"/>
      <c r="F41" s="154"/>
      <c r="G41" s="155"/>
      <c r="H41" s="156"/>
      <c r="I41" s="154"/>
      <c r="J41" s="155"/>
      <c r="K41" s="156"/>
      <c r="L41" s="154"/>
      <c r="M41" s="155"/>
      <c r="N41" s="156"/>
      <c r="O41" s="154"/>
      <c r="P41" s="155"/>
      <c r="Q41" s="212" t="s">
        <v>81</v>
      </c>
      <c r="R41" s="213"/>
      <c r="S41" s="6"/>
      <c r="T41" s="6"/>
      <c r="U41" s="38"/>
      <c r="V41" s="38"/>
      <c r="W41" s="6"/>
      <c r="X41" s="6"/>
      <c r="Y41" s="6"/>
      <c r="Z41" s="6"/>
      <c r="AA41" s="6"/>
      <c r="AB41" s="6"/>
      <c r="AC41" s="6"/>
    </row>
    <row r="42" spans="1:29" ht="15.75" customHeight="1" x14ac:dyDescent="0.25">
      <c r="A42" s="111" t="s">
        <v>24</v>
      </c>
      <c r="B42" s="206">
        <f>SUM(B26:B41)</f>
        <v>0</v>
      </c>
      <c r="C42" s="207"/>
      <c r="D42" s="208"/>
      <c r="E42" s="214">
        <f>SUM(E26:E41)</f>
        <v>0</v>
      </c>
      <c r="F42" s="207"/>
      <c r="G42" s="215"/>
      <c r="H42" s="206">
        <f>SUM(H26:H41)</f>
        <v>0</v>
      </c>
      <c r="I42" s="207"/>
      <c r="J42" s="208"/>
      <c r="K42" s="214">
        <f>SUM(K26:K41)</f>
        <v>0</v>
      </c>
      <c r="L42" s="207"/>
      <c r="M42" s="215"/>
      <c r="N42" s="214">
        <f>SUM(N26:N41)</f>
        <v>0</v>
      </c>
      <c r="O42" s="207"/>
      <c r="P42" s="215"/>
      <c r="Q42" s="103" t="s">
        <v>18</v>
      </c>
      <c r="R42" s="112">
        <f t="shared" ref="R42:R44" si="3">SUM(B42:P42)</f>
        <v>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x14ac:dyDescent="0.25">
      <c r="A43" s="113" t="s">
        <v>25</v>
      </c>
      <c r="B43" s="189">
        <f>SUM(C26:C42)</f>
        <v>0</v>
      </c>
      <c r="C43" s="190"/>
      <c r="D43" s="191"/>
      <c r="E43" s="192">
        <f>SUM(F26:F42)</f>
        <v>0</v>
      </c>
      <c r="F43" s="190"/>
      <c r="G43" s="216"/>
      <c r="H43" s="189">
        <f>SUM(I26:I42)</f>
        <v>0</v>
      </c>
      <c r="I43" s="190"/>
      <c r="J43" s="191"/>
      <c r="K43" s="192">
        <f>SUM(L26:L42)</f>
        <v>0</v>
      </c>
      <c r="L43" s="190"/>
      <c r="M43" s="216"/>
      <c r="N43" s="192">
        <f>SUM(O26:O42)</f>
        <v>0</v>
      </c>
      <c r="O43" s="190"/>
      <c r="P43" s="216"/>
      <c r="Q43" s="106" t="s">
        <v>26</v>
      </c>
      <c r="R43" s="114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15.75" customHeight="1" thickBot="1" x14ac:dyDescent="0.3">
      <c r="A44" s="115" t="s">
        <v>27</v>
      </c>
      <c r="B44" s="184">
        <f>SUM(D26:D41)</f>
        <v>0</v>
      </c>
      <c r="C44" s="182"/>
      <c r="D44" s="185"/>
      <c r="E44" s="181">
        <f>SUM(G26:G41)</f>
        <v>0</v>
      </c>
      <c r="F44" s="182"/>
      <c r="G44" s="183"/>
      <c r="H44" s="184">
        <f>SUM(J26:J41)</f>
        <v>0</v>
      </c>
      <c r="I44" s="182"/>
      <c r="J44" s="185"/>
      <c r="K44" s="181">
        <f>SUM(M26:M41)</f>
        <v>0</v>
      </c>
      <c r="L44" s="182"/>
      <c r="M44" s="183"/>
      <c r="N44" s="181">
        <f>SUM(P26:P41)</f>
        <v>0</v>
      </c>
      <c r="O44" s="182"/>
      <c r="P44" s="183"/>
      <c r="Q44" s="109" t="s">
        <v>23</v>
      </c>
      <c r="R44" s="116">
        <f t="shared" si="3"/>
        <v>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21" hidden="1" customHeight="1" x14ac:dyDescent="0.25">
      <c r="A45" s="157"/>
      <c r="B45" s="186" t="str">
        <f>IF(ISBLANK(B6),"",B6)</f>
        <v/>
      </c>
      <c r="C45" s="187"/>
      <c r="D45" s="188"/>
      <c r="E45" s="186" t="str">
        <f>IF(ISBLANK(E6),"",E6)</f>
        <v/>
      </c>
      <c r="F45" s="187"/>
      <c r="G45" s="188"/>
      <c r="H45" s="186" t="str">
        <f>IF(ISBLANK(H6),"",H6)</f>
        <v/>
      </c>
      <c r="I45" s="187"/>
      <c r="J45" s="188"/>
      <c r="K45" s="186" t="str">
        <f>IF(ISBLANK(K6),"",K6)</f>
        <v/>
      </c>
      <c r="L45" s="187"/>
      <c r="M45" s="188"/>
      <c r="N45" s="186" t="str">
        <f>IF(ISBLANK(N6),"",N6)</f>
        <v/>
      </c>
      <c r="O45" s="187"/>
      <c r="P45" s="188"/>
      <c r="Q45" s="179"/>
      <c r="R45" s="180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25">
      <c r="A46" s="117" t="s">
        <v>28</v>
      </c>
      <c r="B46" s="206">
        <f t="shared" ref="B46:B48" si="4">B23+B42</f>
        <v>0</v>
      </c>
      <c r="C46" s="207"/>
      <c r="D46" s="208"/>
      <c r="E46" s="209">
        <f t="shared" ref="E46:E48" si="5">E23+E42</f>
        <v>0</v>
      </c>
      <c r="F46" s="210"/>
      <c r="G46" s="211"/>
      <c r="H46" s="209">
        <f t="shared" ref="H46:H48" si="6">H23+H42</f>
        <v>0</v>
      </c>
      <c r="I46" s="210"/>
      <c r="J46" s="211"/>
      <c r="K46" s="209">
        <f t="shared" ref="K46:K48" si="7">K23+K42</f>
        <v>0</v>
      </c>
      <c r="L46" s="210"/>
      <c r="M46" s="211"/>
      <c r="N46" s="209">
        <f t="shared" ref="N46:N48" si="8">N23+N42</f>
        <v>0</v>
      </c>
      <c r="O46" s="210"/>
      <c r="P46" s="211"/>
      <c r="Q46" s="103" t="s">
        <v>18</v>
      </c>
      <c r="R46" s="112">
        <f t="shared" ref="R46:R48" si="9">SUM(B46:P46)</f>
        <v>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x14ac:dyDescent="0.25">
      <c r="A47" s="105" t="s">
        <v>29</v>
      </c>
      <c r="B47" s="192">
        <f t="shared" si="4"/>
        <v>0</v>
      </c>
      <c r="C47" s="190"/>
      <c r="D47" s="191"/>
      <c r="E47" s="189">
        <f t="shared" si="5"/>
        <v>0</v>
      </c>
      <c r="F47" s="190"/>
      <c r="G47" s="191"/>
      <c r="H47" s="189">
        <f t="shared" si="6"/>
        <v>0</v>
      </c>
      <c r="I47" s="190"/>
      <c r="J47" s="191"/>
      <c r="K47" s="189">
        <f t="shared" si="7"/>
        <v>0</v>
      </c>
      <c r="L47" s="190"/>
      <c r="M47" s="191"/>
      <c r="N47" s="189">
        <f t="shared" si="8"/>
        <v>0</v>
      </c>
      <c r="O47" s="190"/>
      <c r="P47" s="191"/>
      <c r="Q47" s="106" t="s">
        <v>26</v>
      </c>
      <c r="R47" s="114">
        <f t="shared" si="9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15.75" customHeight="1" thickBot="1" x14ac:dyDescent="0.3">
      <c r="A48" s="118" t="s">
        <v>30</v>
      </c>
      <c r="B48" s="181">
        <f t="shared" si="4"/>
        <v>0</v>
      </c>
      <c r="C48" s="182"/>
      <c r="D48" s="185"/>
      <c r="E48" s="184">
        <f t="shared" si="5"/>
        <v>0</v>
      </c>
      <c r="F48" s="182"/>
      <c r="G48" s="185"/>
      <c r="H48" s="184">
        <f t="shared" si="6"/>
        <v>0</v>
      </c>
      <c r="I48" s="182"/>
      <c r="J48" s="185"/>
      <c r="K48" s="184">
        <f t="shared" si="7"/>
        <v>0</v>
      </c>
      <c r="L48" s="182"/>
      <c r="M48" s="185"/>
      <c r="N48" s="184">
        <f t="shared" si="8"/>
        <v>0</v>
      </c>
      <c r="O48" s="182"/>
      <c r="P48" s="185"/>
      <c r="Q48" s="109" t="s">
        <v>23</v>
      </c>
      <c r="R48" s="116">
        <f t="shared" si="9"/>
        <v>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7.5" hidden="1" customHeight="1" x14ac:dyDescent="0.25">
      <c r="A49" s="119"/>
      <c r="B49" s="186" t="str">
        <f>IF(ISBLANK(B10),"",B10)</f>
        <v/>
      </c>
      <c r="C49" s="187"/>
      <c r="D49" s="188"/>
      <c r="E49" s="186" t="str">
        <f>IF(ISBLANK(E10),"",E10)</f>
        <v/>
      </c>
      <c r="F49" s="187"/>
      <c r="G49" s="188"/>
      <c r="H49" s="186" t="str">
        <f>IF(ISBLANK(H10),"",H10)</f>
        <v/>
      </c>
      <c r="I49" s="187"/>
      <c r="J49" s="188"/>
      <c r="K49" s="186" t="str">
        <f>IF(ISBLANK(K10),"",K10)</f>
        <v/>
      </c>
      <c r="L49" s="187"/>
      <c r="M49" s="188"/>
      <c r="N49" s="186" t="str">
        <f>IF(ISBLANK(N10),"",N10)</f>
        <v/>
      </c>
      <c r="O49" s="187"/>
      <c r="P49" s="188"/>
      <c r="Q49" s="179"/>
      <c r="R49" s="180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thickBot="1" x14ac:dyDescent="0.3">
      <c r="A50" s="158" t="s">
        <v>31</v>
      </c>
      <c r="B50" s="203">
        <f>SUM(B46:D48)</f>
        <v>0</v>
      </c>
      <c r="C50" s="187"/>
      <c r="D50" s="188"/>
      <c r="E50" s="198">
        <f>SUM(E46:G48)</f>
        <v>0</v>
      </c>
      <c r="F50" s="196"/>
      <c r="G50" s="197"/>
      <c r="H50" s="198">
        <f>SUM(H46:J48)</f>
        <v>0</v>
      </c>
      <c r="I50" s="196"/>
      <c r="J50" s="197"/>
      <c r="K50" s="198">
        <f>SUM(K46:M48)</f>
        <v>0</v>
      </c>
      <c r="L50" s="196"/>
      <c r="M50" s="197"/>
      <c r="N50" s="198">
        <f>SUM(N46:P48)</f>
        <v>0</v>
      </c>
      <c r="O50" s="196"/>
      <c r="P50" s="197"/>
      <c r="Q50" s="198">
        <f t="shared" ref="Q50:Q51" si="10">SUM(B50:P50)</f>
        <v>0</v>
      </c>
      <c r="R50" s="197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thickBot="1" x14ac:dyDescent="0.3">
      <c r="A51" s="120" t="s">
        <v>32</v>
      </c>
      <c r="B51" s="195">
        <f>(B46+B48)/((NETWORKDAYS($P$1,EOMONTH($P$1,0), HO))*8)</f>
        <v>0</v>
      </c>
      <c r="C51" s="196"/>
      <c r="D51" s="197"/>
      <c r="E51" s="195">
        <f>(E46+E48)/((NETWORKDAYS($P$1,EOMONTH($P$1,0), HO))*8)</f>
        <v>0</v>
      </c>
      <c r="F51" s="196"/>
      <c r="G51" s="197"/>
      <c r="H51" s="195">
        <f>(H46+H48)/((NETWORKDAYS($P$1,EOMONTH($P$1,0), HO))*8)</f>
        <v>0</v>
      </c>
      <c r="I51" s="196"/>
      <c r="J51" s="197"/>
      <c r="K51" s="195">
        <f>(K46+K48)/((NETWORKDAYS($P$1,EOMONTH($P$1,0), HO))*8)</f>
        <v>0</v>
      </c>
      <c r="L51" s="196"/>
      <c r="M51" s="197"/>
      <c r="N51" s="195">
        <f>(N46+N48)/((NETWORKDAYS($P$1,EOMONTH($P$1,0), HO))*8)</f>
        <v>0</v>
      </c>
      <c r="O51" s="196"/>
      <c r="P51" s="197"/>
      <c r="Q51" s="195">
        <f t="shared" si="10"/>
        <v>0</v>
      </c>
      <c r="R51" s="197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15.75" customHeight="1" thickBot="1" x14ac:dyDescent="0.3">
      <c r="A52" s="120" t="s">
        <v>33</v>
      </c>
      <c r="B52" s="198">
        <f>R46+R48</f>
        <v>0</v>
      </c>
      <c r="C52" s="196"/>
      <c r="D52" s="197"/>
      <c r="E52" s="195" t="s">
        <v>21</v>
      </c>
      <c r="F52" s="196"/>
      <c r="G52" s="197"/>
      <c r="H52" s="198">
        <f>R47</f>
        <v>0</v>
      </c>
      <c r="I52" s="196"/>
      <c r="J52" s="197"/>
      <c r="K52" s="198">
        <f>R47</f>
        <v>0</v>
      </c>
      <c r="L52" s="196"/>
      <c r="M52" s="197"/>
      <c r="N52" s="195" t="s">
        <v>34</v>
      </c>
      <c r="O52" s="196"/>
      <c r="P52" s="197"/>
      <c r="Q52" s="198">
        <f>B52+H52</f>
        <v>0</v>
      </c>
      <c r="R52" s="197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24.75" customHeight="1" x14ac:dyDescent="0.25">
      <c r="A53" s="199" t="s">
        <v>35</v>
      </c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21.75" customHeight="1" thickBot="1" x14ac:dyDescent="0.3">
      <c r="A54" s="252" t="s">
        <v>45</v>
      </c>
      <c r="B54" s="2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202" t="s">
        <v>37</v>
      </c>
      <c r="P54" s="202"/>
      <c r="Q54" s="152"/>
      <c r="R54" s="152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121"/>
      <c r="B55" s="90"/>
      <c r="C55" s="90"/>
      <c r="D55" s="91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15.75" customHeight="1" x14ac:dyDescent="0.25">
      <c r="A56" s="193" t="s">
        <v>38</v>
      </c>
      <c r="B56" s="194"/>
      <c r="C56" s="125"/>
      <c r="D56" s="126"/>
      <c r="E56" s="38"/>
      <c r="F56" s="127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23.25" customHeight="1" x14ac:dyDescent="0.25">
      <c r="A57" s="193" t="s">
        <v>39</v>
      </c>
      <c r="B57" s="194"/>
      <c r="C57" s="123"/>
      <c r="D57" s="124"/>
      <c r="E57" s="123"/>
      <c r="F57" s="12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122"/>
      <c r="B58" s="38"/>
      <c r="C58" s="38"/>
      <c r="D58" s="52"/>
      <c r="E58" s="38"/>
      <c r="F58" s="127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spans="1:29" ht="15.75" customHeight="1" x14ac:dyDescent="0.25">
      <c r="A257" s="51"/>
      <c r="B257" s="38"/>
      <c r="C257" s="38"/>
      <c r="D257" s="52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spans="1:29" ht="15.75" customHeight="1" x14ac:dyDescent="0.25"/>
    <row r="259" spans="1:29" ht="15.75" customHeight="1" x14ac:dyDescent="0.25"/>
    <row r="260" spans="1:29" ht="15.75" customHeight="1" x14ac:dyDescent="0.25"/>
    <row r="261" spans="1:29" ht="15.75" customHeight="1" x14ac:dyDescent="0.25"/>
    <row r="262" spans="1:29" ht="15.75" customHeight="1" x14ac:dyDescent="0.25"/>
    <row r="263" spans="1:29" ht="15.75" customHeight="1" x14ac:dyDescent="0.25"/>
    <row r="264" spans="1:29" ht="15.75" customHeight="1" x14ac:dyDescent="0.25"/>
    <row r="265" spans="1:29" ht="15.75" customHeight="1" x14ac:dyDescent="0.25"/>
    <row r="266" spans="1:29" ht="15.75" customHeight="1" x14ac:dyDescent="0.25"/>
    <row r="267" spans="1:29" ht="15.75" customHeight="1" x14ac:dyDescent="0.25"/>
    <row r="268" spans="1:29" ht="15.75" customHeight="1" x14ac:dyDescent="0.25"/>
    <row r="269" spans="1:29" ht="15.75" customHeight="1" x14ac:dyDescent="0.25"/>
    <row r="270" spans="1:29" ht="15.75" customHeight="1" x14ac:dyDescent="0.25"/>
    <row r="271" spans="1:29" ht="15.75" customHeight="1" x14ac:dyDescent="0.25"/>
    <row r="272" spans="1:2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34">
    <mergeCell ref="A53:R53"/>
    <mergeCell ref="A54:B54"/>
    <mergeCell ref="O54:P54"/>
    <mergeCell ref="A56:B56"/>
    <mergeCell ref="A57:B57"/>
    <mergeCell ref="B52:D52"/>
    <mergeCell ref="E52:G52"/>
    <mergeCell ref="H52:J52"/>
    <mergeCell ref="K52:M52"/>
    <mergeCell ref="N52:P52"/>
    <mergeCell ref="Q52:R52"/>
    <mergeCell ref="B51:D51"/>
    <mergeCell ref="E51:G51"/>
    <mergeCell ref="H51:J51"/>
    <mergeCell ref="K51:M51"/>
    <mergeCell ref="N51:P51"/>
    <mergeCell ref="Q51:R51"/>
    <mergeCell ref="Q49:R49"/>
    <mergeCell ref="B50:D50"/>
    <mergeCell ref="E50:G50"/>
    <mergeCell ref="H50:J50"/>
    <mergeCell ref="K50:M50"/>
    <mergeCell ref="N50:P50"/>
    <mergeCell ref="Q50:R50"/>
    <mergeCell ref="B48:D48"/>
    <mergeCell ref="E48:G48"/>
    <mergeCell ref="H48:J48"/>
    <mergeCell ref="K48:M48"/>
    <mergeCell ref="N48:P48"/>
    <mergeCell ref="B49:D49"/>
    <mergeCell ref="E49:G49"/>
    <mergeCell ref="H49:J49"/>
    <mergeCell ref="K49:M49"/>
    <mergeCell ref="N49:P49"/>
    <mergeCell ref="B46:D46"/>
    <mergeCell ref="E46:G46"/>
    <mergeCell ref="H46:J46"/>
    <mergeCell ref="K46:M46"/>
    <mergeCell ref="N46:P46"/>
    <mergeCell ref="B47:D47"/>
    <mergeCell ref="E47:G47"/>
    <mergeCell ref="H47:J47"/>
    <mergeCell ref="K47:M47"/>
    <mergeCell ref="N47:P47"/>
    <mergeCell ref="B45:D45"/>
    <mergeCell ref="E45:G45"/>
    <mergeCell ref="H45:J45"/>
    <mergeCell ref="K45:M45"/>
    <mergeCell ref="N45:P45"/>
    <mergeCell ref="Q45:R45"/>
    <mergeCell ref="B43:D43"/>
    <mergeCell ref="E43:G43"/>
    <mergeCell ref="H43:J43"/>
    <mergeCell ref="K43:M43"/>
    <mergeCell ref="N43:P43"/>
    <mergeCell ref="B44:D44"/>
    <mergeCell ref="E44:G44"/>
    <mergeCell ref="H44:J44"/>
    <mergeCell ref="K44:M44"/>
    <mergeCell ref="N44:P44"/>
    <mergeCell ref="Q38:R38"/>
    <mergeCell ref="Q39:R39"/>
    <mergeCell ref="Q40:R40"/>
    <mergeCell ref="Q41:R41"/>
    <mergeCell ref="B42:D42"/>
    <mergeCell ref="E42:G42"/>
    <mergeCell ref="H42:J42"/>
    <mergeCell ref="K42:M42"/>
    <mergeCell ref="N42:P42"/>
    <mergeCell ref="Q32:R32"/>
    <mergeCell ref="Q33:R33"/>
    <mergeCell ref="Q34:R34"/>
    <mergeCell ref="Q35:R35"/>
    <mergeCell ref="Q36:R36"/>
    <mergeCell ref="Q37:R37"/>
    <mergeCell ref="Q26:R26"/>
    <mergeCell ref="Q27:R27"/>
    <mergeCell ref="Q28:R28"/>
    <mergeCell ref="Q29:R29"/>
    <mergeCell ref="Q30:R30"/>
    <mergeCell ref="Q31:R31"/>
    <mergeCell ref="B24:D24"/>
    <mergeCell ref="E24:G24"/>
    <mergeCell ref="H24:J24"/>
    <mergeCell ref="K24:M24"/>
    <mergeCell ref="N24:P24"/>
    <mergeCell ref="B25:D25"/>
    <mergeCell ref="E25:G25"/>
    <mergeCell ref="H25:J25"/>
    <mergeCell ref="K25:M25"/>
    <mergeCell ref="N25:P25"/>
    <mergeCell ref="Q20:R20"/>
    <mergeCell ref="Q21:R21"/>
    <mergeCell ref="Q22:R22"/>
    <mergeCell ref="B23:D23"/>
    <mergeCell ref="E23:G23"/>
    <mergeCell ref="H23:J23"/>
    <mergeCell ref="K23:M23"/>
    <mergeCell ref="N23:P23"/>
    <mergeCell ref="Q14:R14"/>
    <mergeCell ref="Q15:R15"/>
    <mergeCell ref="Q16:R16"/>
    <mergeCell ref="Q18:R18"/>
    <mergeCell ref="Q17:R17"/>
    <mergeCell ref="Q19:R19"/>
    <mergeCell ref="Q8:R8"/>
    <mergeCell ref="Q9:R9"/>
    <mergeCell ref="Q10:R10"/>
    <mergeCell ref="Q11:R11"/>
    <mergeCell ref="Q12:R12"/>
    <mergeCell ref="Q13:R13"/>
    <mergeCell ref="N5:P5"/>
    <mergeCell ref="B6:D6"/>
    <mergeCell ref="E6:G6"/>
    <mergeCell ref="H6:J6"/>
    <mergeCell ref="K6:M6"/>
    <mergeCell ref="N6:P6"/>
    <mergeCell ref="A1:B1"/>
    <mergeCell ref="C1:O1"/>
    <mergeCell ref="P1:R1"/>
    <mergeCell ref="A2:B2"/>
    <mergeCell ref="C2:R2"/>
    <mergeCell ref="A3:B3"/>
    <mergeCell ref="C3:R3"/>
    <mergeCell ref="B4:D4"/>
    <mergeCell ref="E4:G4"/>
    <mergeCell ref="H4:J4"/>
    <mergeCell ref="K4:M4"/>
    <mergeCell ref="N4:P4"/>
    <mergeCell ref="Q4:R7"/>
    <mergeCell ref="B5:D5"/>
    <mergeCell ref="E5:G5"/>
    <mergeCell ref="H5:J5"/>
    <mergeCell ref="K5:M5"/>
  </mergeCells>
  <conditionalFormatting sqref="B23 K42:N42">
    <cfRule type="cellIs" dxfId="1173" priority="7" operator="greaterThan">
      <formula>0</formula>
    </cfRule>
  </conditionalFormatting>
  <conditionalFormatting sqref="B24 K43:N43">
    <cfRule type="cellIs" dxfId="1172" priority="4" operator="greaterThan">
      <formula>1</formula>
    </cfRule>
  </conditionalFormatting>
  <conditionalFormatting sqref="B24:B25 K44:N44">
    <cfRule type="cellIs" dxfId="1171" priority="6" operator="greaterThan">
      <formula>0</formula>
    </cfRule>
  </conditionalFormatting>
  <conditionalFormatting sqref="B42">
    <cfRule type="cellIs" dxfId="1170" priority="20" operator="greaterThan">
      <formula>0</formula>
    </cfRule>
  </conditionalFormatting>
  <conditionalFormatting sqref="B43">
    <cfRule type="cellIs" dxfId="1169" priority="77" operator="greaterThan">
      <formula>1</formula>
    </cfRule>
    <cfRule type="cellIs" dxfId="1168" priority="17" operator="greaterThan">
      <formula>1</formula>
    </cfRule>
  </conditionalFormatting>
  <conditionalFormatting sqref="B43:B44">
    <cfRule type="cellIs" dxfId="1167" priority="19" operator="greaterThan">
      <formula>0</formula>
    </cfRule>
    <cfRule type="cellIs" dxfId="1166" priority="79" operator="greaterThan">
      <formula>0</formula>
    </cfRule>
  </conditionalFormatting>
  <conditionalFormatting sqref="B46">
    <cfRule type="cellIs" dxfId="1165" priority="14" operator="greaterThan">
      <formula>0</formula>
    </cfRule>
  </conditionalFormatting>
  <conditionalFormatting sqref="B47">
    <cfRule type="cellIs" dxfId="1164" priority="11" operator="greaterThan">
      <formula>1</formula>
    </cfRule>
  </conditionalFormatting>
  <conditionalFormatting sqref="B47:B48">
    <cfRule type="cellIs" dxfId="1163" priority="13" operator="greaterThan">
      <formula>0</formula>
    </cfRule>
  </conditionalFormatting>
  <conditionalFormatting sqref="B25:D25">
    <cfRule type="cellIs" dxfId="1162" priority="52" operator="greaterThan">
      <formula>0</formula>
    </cfRule>
  </conditionalFormatting>
  <conditionalFormatting sqref="B44:D44">
    <cfRule type="cellIs" dxfId="1161" priority="82" operator="greaterThan">
      <formula>0</formula>
    </cfRule>
  </conditionalFormatting>
  <conditionalFormatting sqref="B48:M48">
    <cfRule type="cellIs" dxfId="1160" priority="119" operator="greaterThan">
      <formula>0</formula>
    </cfRule>
  </conditionalFormatting>
  <conditionalFormatting sqref="B50:M50">
    <cfRule type="cellIs" dxfId="1159" priority="16" operator="greaterThan">
      <formula>0</formula>
    </cfRule>
  </conditionalFormatting>
  <conditionalFormatting sqref="B4:P5">
    <cfRule type="containsBlanks" dxfId="1158" priority="1">
      <formula>LEN(TRIM(B4))=0</formula>
    </cfRule>
  </conditionalFormatting>
  <conditionalFormatting sqref="B48:P48 R48">
    <cfRule type="cellIs" dxfId="1157" priority="10" operator="greaterThan">
      <formula>0</formula>
    </cfRule>
  </conditionalFormatting>
  <conditionalFormatting sqref="C2:R3">
    <cfRule type="containsBlanks" dxfId="1156" priority="2">
      <formula>LEN(TRIM(C2))=0</formula>
    </cfRule>
  </conditionalFormatting>
  <conditionalFormatting sqref="E24">
    <cfRule type="cellIs" dxfId="1155" priority="53" operator="greaterThan">
      <formula>1</formula>
    </cfRule>
  </conditionalFormatting>
  <conditionalFormatting sqref="E24:E25">
    <cfRule type="cellIs" dxfId="1154" priority="55" operator="greaterThan">
      <formula>0</formula>
    </cfRule>
  </conditionalFormatting>
  <conditionalFormatting sqref="E42">
    <cfRule type="cellIs" dxfId="1153" priority="25" operator="greaterThan">
      <formula>0</formula>
    </cfRule>
  </conditionalFormatting>
  <conditionalFormatting sqref="E43">
    <cfRule type="cellIs" dxfId="1152" priority="22" operator="greaterThan">
      <formula>1</formula>
    </cfRule>
    <cfRule type="cellIs" dxfId="1151" priority="83" operator="greaterThan">
      <formula>1</formula>
    </cfRule>
    <cfRule type="cellIs" dxfId="1150" priority="88" operator="greaterThan">
      <formula>1</formula>
    </cfRule>
  </conditionalFormatting>
  <conditionalFormatting sqref="E43:E44">
    <cfRule type="cellIs" dxfId="1149" priority="24" operator="greaterThan">
      <formula>0</formula>
    </cfRule>
    <cfRule type="cellIs" dxfId="1148" priority="85" operator="greaterThan">
      <formula>0</formula>
    </cfRule>
    <cfRule type="cellIs" dxfId="1147" priority="90" operator="greaterThan">
      <formula>0</formula>
    </cfRule>
  </conditionalFormatting>
  <conditionalFormatting sqref="E46">
    <cfRule type="cellIs" dxfId="1146" priority="40" operator="greaterThan">
      <formula>0</formula>
    </cfRule>
  </conditionalFormatting>
  <conditionalFormatting sqref="E47">
    <cfRule type="cellIs" dxfId="1145" priority="37" operator="greaterThan">
      <formula>1</formula>
    </cfRule>
  </conditionalFormatting>
  <conditionalFormatting sqref="E47:E48">
    <cfRule type="cellIs" dxfId="1144" priority="39" operator="greaterThan">
      <formula>0</formula>
    </cfRule>
  </conditionalFormatting>
  <conditionalFormatting sqref="E25:G25">
    <cfRule type="cellIs" dxfId="1143" priority="58" operator="greaterThan">
      <formula>0</formula>
    </cfRule>
  </conditionalFormatting>
  <conditionalFormatting sqref="E44:G44">
    <cfRule type="cellIs" dxfId="1142" priority="93" operator="greaterThan">
      <formula>0</formula>
    </cfRule>
  </conditionalFormatting>
  <conditionalFormatting sqref="E23:H23">
    <cfRule type="cellIs" dxfId="1141" priority="56" operator="greaterThan">
      <formula>0</formula>
    </cfRule>
  </conditionalFormatting>
  <conditionalFormatting sqref="E24:M24">
    <cfRule type="cellIs" dxfId="1140" priority="72" operator="greaterThan">
      <formula>0</formula>
    </cfRule>
  </conditionalFormatting>
  <conditionalFormatting sqref="E43:M43">
    <cfRule type="cellIs" dxfId="1139" priority="116" operator="greaterThan">
      <formula>0</formula>
    </cfRule>
  </conditionalFormatting>
  <conditionalFormatting sqref="H24">
    <cfRule type="cellIs" dxfId="1138" priority="59" operator="greaterThan">
      <formula>1</formula>
    </cfRule>
  </conditionalFormatting>
  <conditionalFormatting sqref="H24:H25">
    <cfRule type="cellIs" dxfId="1137" priority="61" operator="greaterThan">
      <formula>0</formula>
    </cfRule>
  </conditionalFormatting>
  <conditionalFormatting sqref="H42">
    <cfRule type="cellIs" dxfId="1136" priority="30" operator="greaterThan">
      <formula>0</formula>
    </cfRule>
  </conditionalFormatting>
  <conditionalFormatting sqref="H43">
    <cfRule type="cellIs" dxfId="1135" priority="27" operator="greaterThan">
      <formula>1</formula>
    </cfRule>
    <cfRule type="cellIs" dxfId="1134" priority="99" operator="greaterThan">
      <formula>1</formula>
    </cfRule>
    <cfRule type="cellIs" dxfId="1133" priority="94" operator="greaterThan">
      <formula>1</formula>
    </cfRule>
  </conditionalFormatting>
  <conditionalFormatting sqref="H43:H44">
    <cfRule type="cellIs" dxfId="1132" priority="29" operator="greaterThan">
      <formula>0</formula>
    </cfRule>
    <cfRule type="cellIs" dxfId="1131" priority="96" operator="greaterThan">
      <formula>0</formula>
    </cfRule>
    <cfRule type="cellIs" dxfId="1130" priority="101" operator="greaterThan">
      <formula>0</formula>
    </cfRule>
  </conditionalFormatting>
  <conditionalFormatting sqref="H46">
    <cfRule type="cellIs" dxfId="1129" priority="45" operator="greaterThan">
      <formula>0</formula>
    </cfRule>
  </conditionalFormatting>
  <conditionalFormatting sqref="H47">
    <cfRule type="cellIs" dxfId="1128" priority="42" operator="greaterThan">
      <formula>1</formula>
    </cfRule>
  </conditionalFormatting>
  <conditionalFormatting sqref="H47:H48">
    <cfRule type="cellIs" dxfId="1127" priority="44" operator="greaterThan">
      <formula>0</formula>
    </cfRule>
  </conditionalFormatting>
  <conditionalFormatting sqref="H25:J25">
    <cfRule type="cellIs" dxfId="1126" priority="64" operator="greaterThan">
      <formula>0</formula>
    </cfRule>
  </conditionalFormatting>
  <conditionalFormatting sqref="H44:J44">
    <cfRule type="cellIs" dxfId="1125" priority="104" operator="greaterThan">
      <formula>0</formula>
    </cfRule>
  </conditionalFormatting>
  <conditionalFormatting sqref="K24">
    <cfRule type="cellIs" dxfId="1124" priority="66" operator="greaterThan">
      <formula>1</formula>
    </cfRule>
  </conditionalFormatting>
  <conditionalFormatting sqref="K24:K25">
    <cfRule type="cellIs" dxfId="1123" priority="68" operator="greaterThan">
      <formula>0</formula>
    </cfRule>
  </conditionalFormatting>
  <conditionalFormatting sqref="K43">
    <cfRule type="cellIs" dxfId="1122" priority="105" operator="greaterThan">
      <formula>1</formula>
    </cfRule>
    <cfRule type="cellIs" dxfId="1121" priority="110" operator="greaterThan">
      <formula>1</formula>
    </cfRule>
  </conditionalFormatting>
  <conditionalFormatting sqref="K43:K44">
    <cfRule type="cellIs" dxfId="1120" priority="34" operator="greaterThan">
      <formula>0</formula>
    </cfRule>
    <cfRule type="cellIs" dxfId="1119" priority="107" operator="greaterThan">
      <formula>0</formula>
    </cfRule>
    <cfRule type="cellIs" dxfId="1118" priority="112" operator="greaterThan">
      <formula>0</formula>
    </cfRule>
  </conditionalFormatting>
  <conditionalFormatting sqref="K46">
    <cfRule type="cellIs" dxfId="1117" priority="50" operator="greaterThan">
      <formula>0</formula>
    </cfRule>
  </conditionalFormatting>
  <conditionalFormatting sqref="K47">
    <cfRule type="cellIs" dxfId="1116" priority="47" operator="greaterThan">
      <formula>1</formula>
    </cfRule>
  </conditionalFormatting>
  <conditionalFormatting sqref="K47:K48">
    <cfRule type="cellIs" dxfId="1115" priority="49" operator="greaterThan">
      <formula>0</formula>
    </cfRule>
  </conditionalFormatting>
  <conditionalFormatting sqref="K23:M23">
    <cfRule type="cellIs" dxfId="1114" priority="69" operator="greaterThan">
      <formula>0</formula>
    </cfRule>
  </conditionalFormatting>
  <conditionalFormatting sqref="K25:M25">
    <cfRule type="cellIs" dxfId="1113" priority="71" operator="greaterThan">
      <formula>0</formula>
    </cfRule>
  </conditionalFormatting>
  <conditionalFormatting sqref="K44:M44">
    <cfRule type="cellIs" dxfId="1112" priority="115" operator="greaterThan">
      <formula>0</formula>
    </cfRule>
  </conditionalFormatting>
  <conditionalFormatting sqref="K47:M47">
    <cfRule type="cellIs" dxfId="1111" priority="120" operator="greaterThan">
      <formula>0</formula>
    </cfRule>
  </conditionalFormatting>
  <conditionalFormatting sqref="K47:P47">
    <cfRule type="cellIs" dxfId="1110" priority="9" operator="greaterThan">
      <formula>0</formula>
    </cfRule>
  </conditionalFormatting>
  <pageMargins left="0.25" right="0.25" top="0.75" bottom="0.75" header="0.3" footer="0.3"/>
  <pageSetup scale="7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DDBB-5EF1-44D9-9323-C4503296BEC0}">
  <sheetPr>
    <outlinePr summaryBelow="0" summaryRight="0"/>
    <pageSetUpPr fitToPage="1"/>
  </sheetPr>
  <dimension ref="A1:AC998"/>
  <sheetViews>
    <sheetView zoomScale="87" zoomScaleNormal="100" zoomScaleSheetLayoutView="70" workbookViewId="0">
      <selection activeCell="Q13" sqref="Q13:R13"/>
    </sheetView>
  </sheetViews>
  <sheetFormatPr defaultColWidth="14.44140625" defaultRowHeight="15" customHeight="1" x14ac:dyDescent="0.25"/>
  <cols>
    <col min="1" max="1" width="24" customWidth="1"/>
    <col min="2" max="16" width="5.33203125" customWidth="1"/>
    <col min="17" max="17" width="17.5546875" bestFit="1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41.25" customHeight="1" thickBot="1" x14ac:dyDescent="0.35">
      <c r="A1" s="228" t="s">
        <v>0</v>
      </c>
      <c r="B1" s="229"/>
      <c r="C1" s="230" t="s">
        <v>1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2">
        <v>46113</v>
      </c>
      <c r="Q1" s="231"/>
      <c r="R1" s="231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233" t="s">
        <v>2</v>
      </c>
      <c r="B2" s="215"/>
      <c r="C2" s="225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7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8" thickBot="1" x14ac:dyDescent="0.35">
      <c r="A3" s="247" t="s">
        <v>3</v>
      </c>
      <c r="B3" s="183"/>
      <c r="C3" s="234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6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54" customHeight="1" x14ac:dyDescent="0.25">
      <c r="A4" s="92" t="s">
        <v>4</v>
      </c>
      <c r="B4" s="240"/>
      <c r="C4" s="241"/>
      <c r="D4" s="242"/>
      <c r="E4" s="240"/>
      <c r="F4" s="241"/>
      <c r="G4" s="242"/>
      <c r="H4" s="240"/>
      <c r="I4" s="241"/>
      <c r="J4" s="242"/>
      <c r="K4" s="240"/>
      <c r="L4" s="241"/>
      <c r="M4" s="242"/>
      <c r="N4" s="240"/>
      <c r="O4" s="241"/>
      <c r="P4" s="242"/>
      <c r="Q4" s="243" t="s">
        <v>5</v>
      </c>
      <c r="R4" s="244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93" t="s">
        <v>6</v>
      </c>
      <c r="B5" s="237"/>
      <c r="C5" s="238"/>
      <c r="D5" s="239"/>
      <c r="E5" s="237"/>
      <c r="F5" s="238"/>
      <c r="G5" s="239"/>
      <c r="H5" s="237"/>
      <c r="I5" s="238"/>
      <c r="J5" s="239"/>
      <c r="K5" s="237"/>
      <c r="L5" s="238"/>
      <c r="M5" s="239"/>
      <c r="N5" s="237"/>
      <c r="O5" s="238"/>
      <c r="P5" s="239"/>
      <c r="Q5" s="245"/>
      <c r="R5" s="180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thickBot="1" x14ac:dyDescent="0.3">
      <c r="A6" s="94" t="s">
        <v>7</v>
      </c>
      <c r="B6" s="237"/>
      <c r="C6" s="238"/>
      <c r="D6" s="239"/>
      <c r="E6" s="237"/>
      <c r="F6" s="238"/>
      <c r="G6" s="239"/>
      <c r="H6" s="237"/>
      <c r="I6" s="238"/>
      <c r="J6" s="239"/>
      <c r="K6" s="237"/>
      <c r="L6" s="238"/>
      <c r="M6" s="239"/>
      <c r="N6" s="237"/>
      <c r="O6" s="238"/>
      <c r="P6" s="239"/>
      <c r="Q6" s="245"/>
      <c r="R6" s="180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thickBot="1" x14ac:dyDescent="0.3">
      <c r="A7" s="153"/>
      <c r="B7" s="95" t="s">
        <v>8</v>
      </c>
      <c r="C7" s="96" t="s">
        <v>9</v>
      </c>
      <c r="D7" s="97" t="s">
        <v>10</v>
      </c>
      <c r="E7" s="95" t="s">
        <v>8</v>
      </c>
      <c r="F7" s="96" t="s">
        <v>9</v>
      </c>
      <c r="G7" s="97" t="s">
        <v>10</v>
      </c>
      <c r="H7" s="95" t="s">
        <v>8</v>
      </c>
      <c r="I7" s="96" t="s">
        <v>9</v>
      </c>
      <c r="J7" s="97" t="s">
        <v>10</v>
      </c>
      <c r="K7" s="95" t="s">
        <v>8</v>
      </c>
      <c r="L7" s="96" t="s">
        <v>9</v>
      </c>
      <c r="M7" s="97" t="s">
        <v>10</v>
      </c>
      <c r="N7" s="95" t="s">
        <v>8</v>
      </c>
      <c r="O7" s="96" t="s">
        <v>9</v>
      </c>
      <c r="P7" s="97" t="s">
        <v>10</v>
      </c>
      <c r="Q7" s="246"/>
      <c r="R7" s="188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8" x14ac:dyDescent="0.25">
      <c r="A8" s="98">
        <v>46113</v>
      </c>
      <c r="B8" s="140"/>
      <c r="C8" s="141"/>
      <c r="D8" s="142"/>
      <c r="E8" s="143"/>
      <c r="F8" s="141"/>
      <c r="G8" s="142"/>
      <c r="H8" s="143"/>
      <c r="I8" s="141"/>
      <c r="J8" s="142"/>
      <c r="K8" s="143"/>
      <c r="L8" s="141"/>
      <c r="M8" s="142"/>
      <c r="N8" s="143"/>
      <c r="O8" s="141"/>
      <c r="P8" s="142"/>
      <c r="Q8" s="248"/>
      <c r="R8" s="20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8" x14ac:dyDescent="0.25">
      <c r="A9" s="99">
        <f t="shared" ref="A9:A22" si="0">A8+1</f>
        <v>46114</v>
      </c>
      <c r="B9" s="133"/>
      <c r="C9" s="134"/>
      <c r="D9" s="135"/>
      <c r="E9" s="136"/>
      <c r="F9" s="134"/>
      <c r="G9" s="135"/>
      <c r="H9" s="136"/>
      <c r="I9" s="134"/>
      <c r="J9" s="135"/>
      <c r="K9" s="136"/>
      <c r="L9" s="134"/>
      <c r="M9" s="135"/>
      <c r="N9" s="136"/>
      <c r="O9" s="134"/>
      <c r="P9" s="135"/>
      <c r="Q9" s="224"/>
      <c r="R9" s="191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3.8" x14ac:dyDescent="0.25">
      <c r="A10" s="100">
        <f t="shared" si="0"/>
        <v>46115</v>
      </c>
      <c r="B10" s="140"/>
      <c r="C10" s="137"/>
      <c r="D10" s="138"/>
      <c r="E10" s="139"/>
      <c r="F10" s="137"/>
      <c r="G10" s="138"/>
      <c r="H10" s="139"/>
      <c r="I10" s="137"/>
      <c r="J10" s="138"/>
      <c r="K10" s="139"/>
      <c r="L10" s="137"/>
      <c r="M10" s="138"/>
      <c r="N10" s="139"/>
      <c r="O10" s="137"/>
      <c r="P10" s="138"/>
      <c r="Q10" s="204"/>
      <c r="R10" s="191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8" x14ac:dyDescent="0.25">
      <c r="A11" s="100">
        <f t="shared" si="0"/>
        <v>46116</v>
      </c>
      <c r="B11" s="140"/>
      <c r="C11" s="137"/>
      <c r="D11" s="138"/>
      <c r="E11" s="139"/>
      <c r="F11" s="137"/>
      <c r="G11" s="138"/>
      <c r="H11" s="139"/>
      <c r="I11" s="137"/>
      <c r="J11" s="138"/>
      <c r="K11" s="139"/>
      <c r="L11" s="137"/>
      <c r="M11" s="138"/>
      <c r="N11" s="139"/>
      <c r="O11" s="137"/>
      <c r="P11" s="138"/>
      <c r="Q11" s="204"/>
      <c r="R11" s="191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8" x14ac:dyDescent="0.25">
      <c r="A12" s="100">
        <f t="shared" si="0"/>
        <v>46117</v>
      </c>
      <c r="B12" s="140"/>
      <c r="C12" s="137"/>
      <c r="D12" s="138"/>
      <c r="E12" s="139"/>
      <c r="F12" s="137"/>
      <c r="G12" s="138"/>
      <c r="H12" s="139"/>
      <c r="I12" s="137"/>
      <c r="J12" s="138"/>
      <c r="K12" s="139"/>
      <c r="L12" s="137"/>
      <c r="M12" s="138"/>
      <c r="N12" s="139"/>
      <c r="O12" s="137"/>
      <c r="P12" s="138"/>
      <c r="Q12" s="204" t="s">
        <v>82</v>
      </c>
      <c r="R12" s="191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8" x14ac:dyDescent="0.25">
      <c r="A13" s="100">
        <f t="shared" si="0"/>
        <v>46118</v>
      </c>
      <c r="B13" s="140"/>
      <c r="C13" s="137"/>
      <c r="D13" s="138"/>
      <c r="E13" s="139"/>
      <c r="F13" s="137"/>
      <c r="G13" s="138"/>
      <c r="H13" s="139"/>
      <c r="I13" s="137"/>
      <c r="J13" s="138"/>
      <c r="K13" s="139"/>
      <c r="L13" s="137"/>
      <c r="M13" s="138"/>
      <c r="N13" s="139"/>
      <c r="O13" s="137"/>
      <c r="P13" s="138"/>
      <c r="Q13" s="204"/>
      <c r="R13" s="191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8" x14ac:dyDescent="0.25">
      <c r="A14" s="100">
        <f t="shared" si="0"/>
        <v>46119</v>
      </c>
      <c r="B14" s="140"/>
      <c r="C14" s="137"/>
      <c r="D14" s="138"/>
      <c r="E14" s="139"/>
      <c r="F14" s="137"/>
      <c r="G14" s="138"/>
      <c r="H14" s="139"/>
      <c r="I14" s="137"/>
      <c r="J14" s="138"/>
      <c r="K14" s="139"/>
      <c r="L14" s="137"/>
      <c r="M14" s="138"/>
      <c r="N14" s="139"/>
      <c r="O14" s="137"/>
      <c r="P14" s="138"/>
      <c r="Q14" s="204"/>
      <c r="R14" s="191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8" x14ac:dyDescent="0.25">
      <c r="A15" s="100">
        <f t="shared" si="0"/>
        <v>46120</v>
      </c>
      <c r="B15" s="140"/>
      <c r="C15" s="137"/>
      <c r="D15" s="138"/>
      <c r="E15" s="139"/>
      <c r="F15" s="137"/>
      <c r="G15" s="138"/>
      <c r="H15" s="139"/>
      <c r="I15" s="137"/>
      <c r="J15" s="138"/>
      <c r="K15" s="139"/>
      <c r="L15" s="137"/>
      <c r="M15" s="138"/>
      <c r="N15" s="139"/>
      <c r="O15" s="137"/>
      <c r="P15" s="138"/>
      <c r="Q15" s="205"/>
      <c r="R15" s="191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8" x14ac:dyDescent="0.25">
      <c r="A16" s="100">
        <f t="shared" si="0"/>
        <v>46121</v>
      </c>
      <c r="B16" s="140"/>
      <c r="C16" s="137"/>
      <c r="D16" s="138"/>
      <c r="E16" s="139"/>
      <c r="F16" s="137"/>
      <c r="G16" s="138"/>
      <c r="H16" s="139"/>
      <c r="I16" s="137"/>
      <c r="J16" s="138"/>
      <c r="K16" s="139"/>
      <c r="L16" s="137"/>
      <c r="M16" s="138"/>
      <c r="N16" s="139"/>
      <c r="O16" s="137"/>
      <c r="P16" s="138"/>
      <c r="Q16" s="204"/>
      <c r="R16" s="191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4.4" x14ac:dyDescent="0.3">
      <c r="A17" s="100">
        <f t="shared" si="0"/>
        <v>46122</v>
      </c>
      <c r="B17" s="140"/>
      <c r="C17" s="137"/>
      <c r="D17" s="138"/>
      <c r="E17" s="139"/>
      <c r="F17" s="137"/>
      <c r="G17" s="138"/>
      <c r="H17" s="139"/>
      <c r="I17" s="137"/>
      <c r="J17" s="138"/>
      <c r="K17" s="139"/>
      <c r="L17" s="137"/>
      <c r="M17" s="138"/>
      <c r="N17" s="139"/>
      <c r="O17" s="137"/>
      <c r="P17" s="138"/>
      <c r="Q17" s="204"/>
      <c r="R17" s="191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4.4" x14ac:dyDescent="0.3">
      <c r="A18" s="100">
        <f t="shared" si="0"/>
        <v>46123</v>
      </c>
      <c r="B18" s="140"/>
      <c r="C18" s="137"/>
      <c r="D18" s="138"/>
      <c r="E18" s="139"/>
      <c r="F18" s="137"/>
      <c r="G18" s="138"/>
      <c r="H18" s="139"/>
      <c r="I18" s="137"/>
      <c r="J18" s="138"/>
      <c r="K18" s="139"/>
      <c r="L18" s="137"/>
      <c r="M18" s="138"/>
      <c r="N18" s="139"/>
      <c r="O18" s="137"/>
      <c r="P18" s="138"/>
      <c r="Q18" s="205"/>
      <c r="R18" s="191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4.4" x14ac:dyDescent="0.3">
      <c r="A19" s="100">
        <f t="shared" si="0"/>
        <v>46124</v>
      </c>
      <c r="B19" s="140"/>
      <c r="C19" s="137"/>
      <c r="D19" s="138"/>
      <c r="E19" s="139"/>
      <c r="F19" s="137"/>
      <c r="G19" s="138"/>
      <c r="H19" s="139"/>
      <c r="I19" s="137"/>
      <c r="J19" s="138"/>
      <c r="K19" s="139"/>
      <c r="L19" s="137"/>
      <c r="M19" s="138"/>
      <c r="N19" s="139"/>
      <c r="O19" s="137"/>
      <c r="P19" s="138"/>
      <c r="Q19" s="204"/>
      <c r="R19" s="191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4.4" x14ac:dyDescent="0.3">
      <c r="A20" s="100">
        <f t="shared" si="0"/>
        <v>46125</v>
      </c>
      <c r="B20" s="140"/>
      <c r="C20" s="137"/>
      <c r="D20" s="138"/>
      <c r="E20" s="139"/>
      <c r="F20" s="137"/>
      <c r="G20" s="138"/>
      <c r="H20" s="139"/>
      <c r="I20" s="137"/>
      <c r="J20" s="138"/>
      <c r="K20" s="139"/>
      <c r="L20" s="137"/>
      <c r="M20" s="138"/>
      <c r="N20" s="139"/>
      <c r="O20" s="137"/>
      <c r="P20" s="138"/>
      <c r="Q20" s="221"/>
      <c r="R20" s="220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100">
        <f t="shared" si="0"/>
        <v>46126</v>
      </c>
      <c r="B21" s="140"/>
      <c r="C21" s="137"/>
      <c r="D21" s="138"/>
      <c r="E21" s="139"/>
      <c r="F21" s="137"/>
      <c r="G21" s="138"/>
      <c r="H21" s="139"/>
      <c r="I21" s="137"/>
      <c r="J21" s="138"/>
      <c r="K21" s="139"/>
      <c r="L21" s="137"/>
      <c r="M21" s="138"/>
      <c r="N21" s="139"/>
      <c r="O21" s="137"/>
      <c r="P21" s="138"/>
      <c r="Q21" s="204"/>
      <c r="R21" s="191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thickBot="1" x14ac:dyDescent="0.35">
      <c r="A22" s="101">
        <f t="shared" si="0"/>
        <v>46127</v>
      </c>
      <c r="B22" s="140"/>
      <c r="C22" s="154"/>
      <c r="D22" s="155"/>
      <c r="E22" s="156"/>
      <c r="F22" s="154"/>
      <c r="G22" s="155"/>
      <c r="H22" s="156"/>
      <c r="I22" s="154"/>
      <c r="J22" s="155"/>
      <c r="K22" s="156"/>
      <c r="L22" s="154"/>
      <c r="M22" s="155"/>
      <c r="N22" s="156"/>
      <c r="O22" s="154"/>
      <c r="P22" s="155"/>
      <c r="Q22" s="253" t="s">
        <v>46</v>
      </c>
      <c r="R22" s="254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102" t="s">
        <v>17</v>
      </c>
      <c r="B23" s="214">
        <f>SUM(B8:B22)</f>
        <v>0</v>
      </c>
      <c r="C23" s="207"/>
      <c r="D23" s="208"/>
      <c r="E23" s="214">
        <f>SUM(E8:E22)</f>
        <v>0</v>
      </c>
      <c r="F23" s="207"/>
      <c r="G23" s="208"/>
      <c r="H23" s="214">
        <f>SUM(H8:H22)</f>
        <v>0</v>
      </c>
      <c r="I23" s="207"/>
      <c r="J23" s="208"/>
      <c r="K23" s="214">
        <f>SUM(K8:K22)</f>
        <v>0</v>
      </c>
      <c r="L23" s="207"/>
      <c r="M23" s="208"/>
      <c r="N23" s="214">
        <f>SUM(N8:N22)</f>
        <v>0</v>
      </c>
      <c r="O23" s="207"/>
      <c r="P23" s="208"/>
      <c r="Q23" s="103" t="s">
        <v>18</v>
      </c>
      <c r="R23" s="104">
        <f t="shared" ref="R23:R25" si="1">SUM(B23:P23)</f>
        <v>0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25">
      <c r="A24" s="105" t="s">
        <v>20</v>
      </c>
      <c r="B24" s="192">
        <f>SUM(C8:C23)</f>
        <v>0</v>
      </c>
      <c r="C24" s="190"/>
      <c r="D24" s="191"/>
      <c r="E24" s="192">
        <f>SUM(F8:F23)</f>
        <v>0</v>
      </c>
      <c r="F24" s="190"/>
      <c r="G24" s="191"/>
      <c r="H24" s="192">
        <f>SUM(I8:I23)</f>
        <v>0</v>
      </c>
      <c r="I24" s="190"/>
      <c r="J24" s="191"/>
      <c r="K24" s="192">
        <f>SUM(L8:L23)</f>
        <v>0</v>
      </c>
      <c r="L24" s="190"/>
      <c r="M24" s="191"/>
      <c r="N24" s="192">
        <f>SUM(O8:O23)</f>
        <v>0</v>
      </c>
      <c r="O24" s="190"/>
      <c r="P24" s="191"/>
      <c r="Q24" s="106" t="s">
        <v>21</v>
      </c>
      <c r="R24" s="107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thickBot="1" x14ac:dyDescent="0.3">
      <c r="A25" s="108" t="s">
        <v>22</v>
      </c>
      <c r="B25" s="181">
        <f>SUM(D8:D22)</f>
        <v>0</v>
      </c>
      <c r="C25" s="182"/>
      <c r="D25" s="185"/>
      <c r="E25" s="181">
        <f>SUM(G8:G22)</f>
        <v>0</v>
      </c>
      <c r="F25" s="182"/>
      <c r="G25" s="185"/>
      <c r="H25" s="181">
        <f>SUM(J8:J22)</f>
        <v>0</v>
      </c>
      <c r="I25" s="182"/>
      <c r="J25" s="185"/>
      <c r="K25" s="181">
        <f>SUM(M8:M22)</f>
        <v>0</v>
      </c>
      <c r="L25" s="182"/>
      <c r="M25" s="185"/>
      <c r="N25" s="181">
        <f>SUM(P8:P22)</f>
        <v>0</v>
      </c>
      <c r="O25" s="182"/>
      <c r="P25" s="185"/>
      <c r="Q25" s="109" t="s">
        <v>23</v>
      </c>
      <c r="R25" s="110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98">
        <f>A22+1</f>
        <v>46128</v>
      </c>
      <c r="B26" s="151"/>
      <c r="C26" s="159"/>
      <c r="D26" s="160"/>
      <c r="E26" s="161"/>
      <c r="F26" s="159"/>
      <c r="G26" s="160"/>
      <c r="H26" s="161"/>
      <c r="I26" s="159"/>
      <c r="J26" s="160"/>
      <c r="K26" s="161"/>
      <c r="L26" s="159"/>
      <c r="M26" s="160"/>
      <c r="N26" s="161"/>
      <c r="O26" s="159"/>
      <c r="P26" s="160"/>
      <c r="Q26" s="255"/>
      <c r="R26" s="211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100">
        <f t="shared" ref="A27:A40" si="2">A26+1</f>
        <v>46129</v>
      </c>
      <c r="B27" s="151"/>
      <c r="C27" s="137"/>
      <c r="D27" s="138"/>
      <c r="E27" s="139"/>
      <c r="F27" s="137"/>
      <c r="G27" s="138"/>
      <c r="H27" s="139"/>
      <c r="I27" s="137"/>
      <c r="J27" s="138"/>
      <c r="K27" s="139"/>
      <c r="L27" s="137"/>
      <c r="M27" s="138"/>
      <c r="N27" s="139"/>
      <c r="O27" s="137"/>
      <c r="P27" s="138"/>
      <c r="Q27" s="205"/>
      <c r="R27" s="191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100">
        <f t="shared" si="2"/>
        <v>46130</v>
      </c>
      <c r="B28" s="151"/>
      <c r="C28" s="137"/>
      <c r="D28" s="138"/>
      <c r="E28" s="139"/>
      <c r="F28" s="137"/>
      <c r="G28" s="138"/>
      <c r="H28" s="139"/>
      <c r="I28" s="137"/>
      <c r="J28" s="138"/>
      <c r="K28" s="139"/>
      <c r="L28" s="137"/>
      <c r="M28" s="138"/>
      <c r="N28" s="139"/>
      <c r="O28" s="137"/>
      <c r="P28" s="138"/>
      <c r="Q28" s="204"/>
      <c r="R28" s="191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100">
        <f t="shared" si="2"/>
        <v>46131</v>
      </c>
      <c r="B29" s="151"/>
      <c r="C29" s="137"/>
      <c r="D29" s="138"/>
      <c r="E29" s="139"/>
      <c r="F29" s="137"/>
      <c r="G29" s="138"/>
      <c r="H29" s="139"/>
      <c r="I29" s="137"/>
      <c r="J29" s="138"/>
      <c r="K29" s="139"/>
      <c r="L29" s="137"/>
      <c r="M29" s="138"/>
      <c r="N29" s="139"/>
      <c r="O29" s="137"/>
      <c r="P29" s="138"/>
      <c r="Q29" s="204"/>
      <c r="R29" s="191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100">
        <f t="shared" si="2"/>
        <v>46132</v>
      </c>
      <c r="B30" s="151"/>
      <c r="C30" s="137"/>
      <c r="D30" s="138"/>
      <c r="E30" s="139"/>
      <c r="F30" s="137"/>
      <c r="G30" s="138"/>
      <c r="H30" s="139"/>
      <c r="I30" s="137"/>
      <c r="J30" s="138"/>
      <c r="K30" s="139"/>
      <c r="L30" s="137"/>
      <c r="M30" s="138"/>
      <c r="N30" s="139"/>
      <c r="O30" s="137"/>
      <c r="P30" s="138"/>
      <c r="Q30" s="204"/>
      <c r="R30" s="191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100">
        <f t="shared" si="2"/>
        <v>46133</v>
      </c>
      <c r="B31" s="151"/>
      <c r="C31" s="137"/>
      <c r="D31" s="138"/>
      <c r="E31" s="139"/>
      <c r="F31" s="137"/>
      <c r="G31" s="138"/>
      <c r="H31" s="139"/>
      <c r="I31" s="137"/>
      <c r="J31" s="138"/>
      <c r="K31" s="139"/>
      <c r="L31" s="137"/>
      <c r="M31" s="138"/>
      <c r="N31" s="139"/>
      <c r="O31" s="137"/>
      <c r="P31" s="138"/>
      <c r="Q31" s="221"/>
      <c r="R31" s="191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100">
        <f t="shared" si="2"/>
        <v>46134</v>
      </c>
      <c r="B32" s="151"/>
      <c r="C32" s="137"/>
      <c r="D32" s="138"/>
      <c r="E32" s="139"/>
      <c r="F32" s="137"/>
      <c r="G32" s="138"/>
      <c r="H32" s="139"/>
      <c r="I32" s="137"/>
      <c r="J32" s="138"/>
      <c r="K32" s="139"/>
      <c r="L32" s="137"/>
      <c r="M32" s="138"/>
      <c r="N32" s="139"/>
      <c r="O32" s="137"/>
      <c r="P32" s="138"/>
      <c r="Q32" s="204"/>
      <c r="R32" s="191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100">
        <f t="shared" si="2"/>
        <v>46135</v>
      </c>
      <c r="B33" s="151"/>
      <c r="C33" s="137"/>
      <c r="D33" s="138"/>
      <c r="E33" s="139"/>
      <c r="F33" s="137"/>
      <c r="G33" s="138"/>
      <c r="H33" s="139"/>
      <c r="I33" s="137"/>
      <c r="J33" s="138"/>
      <c r="K33" s="139"/>
      <c r="L33" s="137"/>
      <c r="M33" s="138"/>
      <c r="N33" s="139"/>
      <c r="O33" s="137"/>
      <c r="P33" s="138"/>
      <c r="Q33" s="205"/>
      <c r="R33" s="191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100">
        <f t="shared" si="2"/>
        <v>46136</v>
      </c>
      <c r="B34" s="151"/>
      <c r="C34" s="137"/>
      <c r="D34" s="138"/>
      <c r="E34" s="139"/>
      <c r="F34" s="137"/>
      <c r="G34" s="138"/>
      <c r="H34" s="139"/>
      <c r="I34" s="137"/>
      <c r="J34" s="138"/>
      <c r="K34" s="139"/>
      <c r="L34" s="137"/>
      <c r="M34" s="138"/>
      <c r="N34" s="139"/>
      <c r="O34" s="137"/>
      <c r="P34" s="138"/>
      <c r="Q34" s="204"/>
      <c r="R34" s="191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100">
        <f t="shared" si="2"/>
        <v>46137</v>
      </c>
      <c r="B35" s="151"/>
      <c r="C35" s="137"/>
      <c r="D35" s="138"/>
      <c r="E35" s="139"/>
      <c r="F35" s="137"/>
      <c r="G35" s="138"/>
      <c r="H35" s="139"/>
      <c r="I35" s="137"/>
      <c r="J35" s="138"/>
      <c r="K35" s="139"/>
      <c r="L35" s="137"/>
      <c r="M35" s="138"/>
      <c r="N35" s="139"/>
      <c r="O35" s="137"/>
      <c r="P35" s="138"/>
      <c r="Q35" s="204"/>
      <c r="R35" s="191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100">
        <f t="shared" si="2"/>
        <v>46138</v>
      </c>
      <c r="B36" s="151"/>
      <c r="C36" s="137"/>
      <c r="D36" s="138"/>
      <c r="E36" s="139"/>
      <c r="F36" s="137"/>
      <c r="G36" s="138"/>
      <c r="H36" s="139"/>
      <c r="I36" s="137"/>
      <c r="J36" s="138"/>
      <c r="K36" s="139"/>
      <c r="L36" s="137"/>
      <c r="M36" s="138"/>
      <c r="N36" s="139"/>
      <c r="O36" s="137"/>
      <c r="P36" s="138"/>
      <c r="Q36" s="205"/>
      <c r="R36" s="191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100">
        <f t="shared" si="2"/>
        <v>46139</v>
      </c>
      <c r="B37" s="151"/>
      <c r="C37" s="137"/>
      <c r="D37" s="138"/>
      <c r="E37" s="139"/>
      <c r="F37" s="137"/>
      <c r="G37" s="138"/>
      <c r="H37" s="139"/>
      <c r="I37" s="137"/>
      <c r="J37" s="138"/>
      <c r="K37" s="139"/>
      <c r="L37" s="137"/>
      <c r="M37" s="138"/>
      <c r="N37" s="139"/>
      <c r="O37" s="137"/>
      <c r="P37" s="138"/>
      <c r="Q37" s="204"/>
      <c r="R37" s="191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100">
        <f t="shared" si="2"/>
        <v>46140</v>
      </c>
      <c r="B38" s="151"/>
      <c r="C38" s="137"/>
      <c r="D38" s="138"/>
      <c r="E38" s="139"/>
      <c r="F38" s="137"/>
      <c r="G38" s="138"/>
      <c r="H38" s="139"/>
      <c r="I38" s="137"/>
      <c r="J38" s="138"/>
      <c r="K38" s="139"/>
      <c r="L38" s="137"/>
      <c r="M38" s="138"/>
      <c r="N38" s="139"/>
      <c r="O38" s="137"/>
      <c r="P38" s="138"/>
      <c r="Q38" s="204"/>
      <c r="R38" s="191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100">
        <f t="shared" si="2"/>
        <v>46141</v>
      </c>
      <c r="B39" s="151"/>
      <c r="C39" s="137"/>
      <c r="D39" s="138"/>
      <c r="E39" s="139"/>
      <c r="F39" s="137"/>
      <c r="G39" s="138"/>
      <c r="H39" s="139"/>
      <c r="I39" s="137"/>
      <c r="J39" s="138"/>
      <c r="K39" s="139"/>
      <c r="L39" s="137"/>
      <c r="M39" s="138"/>
      <c r="N39" s="139"/>
      <c r="O39" s="137"/>
      <c r="P39" s="138"/>
      <c r="Q39" s="204"/>
      <c r="R39" s="191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thickBot="1" x14ac:dyDescent="0.3">
      <c r="A40" s="100">
        <f t="shared" si="2"/>
        <v>46142</v>
      </c>
      <c r="B40" s="151"/>
      <c r="C40" s="137"/>
      <c r="D40" s="138"/>
      <c r="E40" s="139"/>
      <c r="F40" s="137"/>
      <c r="G40" s="138"/>
      <c r="H40" s="139"/>
      <c r="I40" s="137"/>
      <c r="J40" s="138"/>
      <c r="K40" s="139"/>
      <c r="L40" s="137"/>
      <c r="M40" s="138"/>
      <c r="N40" s="139"/>
      <c r="O40" s="137"/>
      <c r="P40" s="138"/>
      <c r="Q40" s="204"/>
      <c r="R40" s="191"/>
      <c r="S40" s="6"/>
      <c r="T40" s="6"/>
      <c r="U40" s="38"/>
      <c r="V40" s="38"/>
      <c r="W40" s="6"/>
      <c r="X40" s="6"/>
      <c r="Y40" s="6"/>
      <c r="Z40" s="6"/>
      <c r="AA40" s="6"/>
      <c r="AB40" s="6"/>
      <c r="AC40" s="6"/>
    </row>
    <row r="41" spans="1:29" ht="15.75" customHeight="1" x14ac:dyDescent="0.25">
      <c r="A41" s="111" t="s">
        <v>24</v>
      </c>
      <c r="B41" s="206">
        <f>SUM(B26:B40)</f>
        <v>0</v>
      </c>
      <c r="C41" s="207"/>
      <c r="D41" s="208"/>
      <c r="E41" s="214">
        <f>SUM(E26:E40)</f>
        <v>0</v>
      </c>
      <c r="F41" s="207"/>
      <c r="G41" s="215"/>
      <c r="H41" s="206">
        <f>SUM(H26:H40)</f>
        <v>0</v>
      </c>
      <c r="I41" s="207"/>
      <c r="J41" s="208"/>
      <c r="K41" s="214">
        <f>SUM(K26:K40)</f>
        <v>0</v>
      </c>
      <c r="L41" s="207"/>
      <c r="M41" s="215"/>
      <c r="N41" s="214">
        <f>SUM(N26:N40)</f>
        <v>0</v>
      </c>
      <c r="O41" s="207"/>
      <c r="P41" s="215"/>
      <c r="Q41" s="103" t="s">
        <v>18</v>
      </c>
      <c r="R41" s="112">
        <f t="shared" ref="R41:R43" si="3">SUM(B41:P41)</f>
        <v>0</v>
      </c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</row>
    <row r="42" spans="1:29" ht="15.75" customHeight="1" x14ac:dyDescent="0.25">
      <c r="A42" s="113" t="s">
        <v>25</v>
      </c>
      <c r="B42" s="189">
        <f>SUM(C26:C41)</f>
        <v>0</v>
      </c>
      <c r="C42" s="190"/>
      <c r="D42" s="191"/>
      <c r="E42" s="192">
        <f>SUM(F26:F41)</f>
        <v>0</v>
      </c>
      <c r="F42" s="190"/>
      <c r="G42" s="216"/>
      <c r="H42" s="189">
        <f>SUM(I26:I41)</f>
        <v>0</v>
      </c>
      <c r="I42" s="190"/>
      <c r="J42" s="191"/>
      <c r="K42" s="192">
        <f>SUM(L26:L41)</f>
        <v>0</v>
      </c>
      <c r="L42" s="190"/>
      <c r="M42" s="216"/>
      <c r="N42" s="192">
        <f>SUM(O26:O41)</f>
        <v>0</v>
      </c>
      <c r="O42" s="190"/>
      <c r="P42" s="216"/>
      <c r="Q42" s="106" t="s">
        <v>26</v>
      </c>
      <c r="R42" s="114">
        <f t="shared" si="3"/>
        <v>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thickBot="1" x14ac:dyDescent="0.3">
      <c r="A43" s="115" t="s">
        <v>27</v>
      </c>
      <c r="B43" s="184">
        <f>SUM(D26:D40)</f>
        <v>0</v>
      </c>
      <c r="C43" s="182"/>
      <c r="D43" s="185"/>
      <c r="E43" s="181">
        <f>SUM(G26:G40)</f>
        <v>0</v>
      </c>
      <c r="F43" s="182"/>
      <c r="G43" s="183"/>
      <c r="H43" s="184">
        <f>SUM(J26:J40)</f>
        <v>0</v>
      </c>
      <c r="I43" s="182"/>
      <c r="J43" s="185"/>
      <c r="K43" s="181">
        <f>SUM(M26:M40)</f>
        <v>0</v>
      </c>
      <c r="L43" s="182"/>
      <c r="M43" s="183"/>
      <c r="N43" s="181">
        <f>SUM(P26:P40)</f>
        <v>0</v>
      </c>
      <c r="O43" s="182"/>
      <c r="P43" s="183"/>
      <c r="Q43" s="109" t="s">
        <v>23</v>
      </c>
      <c r="R43" s="116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21" hidden="1" customHeight="1" x14ac:dyDescent="0.25">
      <c r="A44" s="157"/>
      <c r="B44" s="186" t="str">
        <f>IF(ISBLANK(B6),"",B6)</f>
        <v/>
      </c>
      <c r="C44" s="187"/>
      <c r="D44" s="188"/>
      <c r="E44" s="186" t="str">
        <f>IF(ISBLANK(E6),"",E6)</f>
        <v/>
      </c>
      <c r="F44" s="187"/>
      <c r="G44" s="188"/>
      <c r="H44" s="186" t="str">
        <f>IF(ISBLANK(H6),"",H6)</f>
        <v/>
      </c>
      <c r="I44" s="187"/>
      <c r="J44" s="188"/>
      <c r="K44" s="186" t="str">
        <f>IF(ISBLANK(K6),"",K6)</f>
        <v/>
      </c>
      <c r="L44" s="187"/>
      <c r="M44" s="188"/>
      <c r="N44" s="186" t="str">
        <f>IF(ISBLANK(N6),"",N6)</f>
        <v/>
      </c>
      <c r="O44" s="187"/>
      <c r="P44" s="188"/>
      <c r="Q44" s="179"/>
      <c r="R44" s="180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15.75" customHeight="1" x14ac:dyDescent="0.25">
      <c r="A45" s="117" t="s">
        <v>28</v>
      </c>
      <c r="B45" s="206">
        <f>B23+B41</f>
        <v>0</v>
      </c>
      <c r="C45" s="207"/>
      <c r="D45" s="208"/>
      <c r="E45" s="209">
        <f>E23+E41</f>
        <v>0</v>
      </c>
      <c r="F45" s="210"/>
      <c r="G45" s="211"/>
      <c r="H45" s="209">
        <f>H23+H41</f>
        <v>0</v>
      </c>
      <c r="I45" s="210"/>
      <c r="J45" s="211"/>
      <c r="K45" s="209">
        <f>K23+K41</f>
        <v>0</v>
      </c>
      <c r="L45" s="210"/>
      <c r="M45" s="211"/>
      <c r="N45" s="209">
        <f>N23+N41</f>
        <v>0</v>
      </c>
      <c r="O45" s="210"/>
      <c r="P45" s="211"/>
      <c r="Q45" s="103" t="s">
        <v>18</v>
      </c>
      <c r="R45" s="112">
        <f t="shared" ref="R45:R47" si="4">SUM(B45:P45)</f>
        <v>0</v>
      </c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25">
      <c r="A46" s="105" t="s">
        <v>29</v>
      </c>
      <c r="B46" s="192">
        <f>B24+B42</f>
        <v>0</v>
      </c>
      <c r="C46" s="190"/>
      <c r="D46" s="191"/>
      <c r="E46" s="189">
        <f>E24+E42</f>
        <v>0</v>
      </c>
      <c r="F46" s="190"/>
      <c r="G46" s="191"/>
      <c r="H46" s="189">
        <f>H24+H42</f>
        <v>0</v>
      </c>
      <c r="I46" s="190"/>
      <c r="J46" s="191"/>
      <c r="K46" s="189">
        <f>K24+K42</f>
        <v>0</v>
      </c>
      <c r="L46" s="190"/>
      <c r="M46" s="191"/>
      <c r="N46" s="189">
        <f>N24+N42</f>
        <v>0</v>
      </c>
      <c r="O46" s="190"/>
      <c r="P46" s="191"/>
      <c r="Q46" s="106" t="s">
        <v>26</v>
      </c>
      <c r="R46" s="114">
        <f t="shared" si="4"/>
        <v>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thickBot="1" x14ac:dyDescent="0.3">
      <c r="A47" s="118" t="s">
        <v>30</v>
      </c>
      <c r="B47" s="181">
        <f>B25+B43</f>
        <v>0</v>
      </c>
      <c r="C47" s="182"/>
      <c r="D47" s="185"/>
      <c r="E47" s="184">
        <f>E25+E43</f>
        <v>0</v>
      </c>
      <c r="F47" s="182"/>
      <c r="G47" s="185"/>
      <c r="H47" s="184">
        <f>H25+H43</f>
        <v>0</v>
      </c>
      <c r="I47" s="182"/>
      <c r="J47" s="185"/>
      <c r="K47" s="184">
        <f>K25+K43</f>
        <v>0</v>
      </c>
      <c r="L47" s="182"/>
      <c r="M47" s="185"/>
      <c r="N47" s="184">
        <f>N25+N43</f>
        <v>0</v>
      </c>
      <c r="O47" s="182"/>
      <c r="P47" s="185"/>
      <c r="Q47" s="109" t="s">
        <v>23</v>
      </c>
      <c r="R47" s="116">
        <f t="shared" si="4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7.5" hidden="1" customHeight="1" x14ac:dyDescent="0.25">
      <c r="A48" s="119"/>
      <c r="B48" s="186" t="str">
        <f>IF(ISBLANK(B10),"",B10)</f>
        <v/>
      </c>
      <c r="C48" s="187"/>
      <c r="D48" s="188"/>
      <c r="E48" s="186" t="str">
        <f>IF(ISBLANK(E10),"",E10)</f>
        <v/>
      </c>
      <c r="F48" s="187"/>
      <c r="G48" s="188"/>
      <c r="H48" s="186" t="str">
        <f>IF(ISBLANK(H10),"",H10)</f>
        <v/>
      </c>
      <c r="I48" s="187"/>
      <c r="J48" s="188"/>
      <c r="K48" s="186" t="str">
        <f>IF(ISBLANK(K10),"",K10)</f>
        <v/>
      </c>
      <c r="L48" s="187"/>
      <c r="M48" s="188"/>
      <c r="N48" s="186" t="str">
        <f>IF(ISBLANK(N10),"",N10)</f>
        <v/>
      </c>
      <c r="O48" s="187"/>
      <c r="P48" s="188"/>
      <c r="Q48" s="179"/>
      <c r="R48" s="180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15.75" customHeight="1" thickBot="1" x14ac:dyDescent="0.3">
      <c r="A49" s="158" t="s">
        <v>31</v>
      </c>
      <c r="B49" s="203">
        <f>SUM(B45:D47)</f>
        <v>0</v>
      </c>
      <c r="C49" s="187"/>
      <c r="D49" s="188"/>
      <c r="E49" s="198">
        <f>SUM(E45:G47)</f>
        <v>0</v>
      </c>
      <c r="F49" s="196"/>
      <c r="G49" s="197"/>
      <c r="H49" s="198">
        <f>SUM(H45:J47)</f>
        <v>0</v>
      </c>
      <c r="I49" s="196"/>
      <c r="J49" s="197"/>
      <c r="K49" s="198">
        <f>SUM(K45:M47)</f>
        <v>0</v>
      </c>
      <c r="L49" s="196"/>
      <c r="M49" s="197"/>
      <c r="N49" s="198">
        <f>SUM(N45:P47)</f>
        <v>0</v>
      </c>
      <c r="O49" s="196"/>
      <c r="P49" s="197"/>
      <c r="Q49" s="198">
        <f t="shared" ref="Q49:Q50" si="5">SUM(B49:P49)</f>
        <v>0</v>
      </c>
      <c r="R49" s="197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thickBot="1" x14ac:dyDescent="0.3">
      <c r="A50" s="120" t="s">
        <v>32</v>
      </c>
      <c r="B50" s="195">
        <f>(B45+B47)/((NETWORKDAYS($P$1,EOMONTH($P$1,0), HO))*8)</f>
        <v>0</v>
      </c>
      <c r="C50" s="196"/>
      <c r="D50" s="197"/>
      <c r="E50" s="195">
        <f>(E45+E47)/((NETWORKDAYS($P$1,EOMONTH($P$1,0), HO))*8)</f>
        <v>0</v>
      </c>
      <c r="F50" s="196"/>
      <c r="G50" s="197"/>
      <c r="H50" s="195">
        <f>(H45+H47)/((NETWORKDAYS($P$1,EOMONTH($P$1,0), HO))*8)</f>
        <v>0</v>
      </c>
      <c r="I50" s="196"/>
      <c r="J50" s="197"/>
      <c r="K50" s="195">
        <f>(K45+K47)/((NETWORKDAYS($P$1,EOMONTH($P$1,0), HO))*8)</f>
        <v>0</v>
      </c>
      <c r="L50" s="196"/>
      <c r="M50" s="197"/>
      <c r="N50" s="195">
        <f>(N45+N47)/((NETWORKDAYS($P$1,EOMONTH($P$1,0), HO))*8)</f>
        <v>0</v>
      </c>
      <c r="O50" s="196"/>
      <c r="P50" s="197"/>
      <c r="Q50" s="195">
        <f t="shared" si="5"/>
        <v>0</v>
      </c>
      <c r="R50" s="197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thickBot="1" x14ac:dyDescent="0.3">
      <c r="A51" s="120" t="s">
        <v>33</v>
      </c>
      <c r="B51" s="198">
        <f>R45+R47</f>
        <v>0</v>
      </c>
      <c r="C51" s="196"/>
      <c r="D51" s="197"/>
      <c r="E51" s="195" t="s">
        <v>21</v>
      </c>
      <c r="F51" s="196"/>
      <c r="G51" s="197"/>
      <c r="H51" s="198">
        <f>R46</f>
        <v>0</v>
      </c>
      <c r="I51" s="196"/>
      <c r="J51" s="197"/>
      <c r="K51" s="198">
        <f>R46</f>
        <v>0</v>
      </c>
      <c r="L51" s="196"/>
      <c r="M51" s="197"/>
      <c r="N51" s="195" t="s">
        <v>34</v>
      </c>
      <c r="O51" s="196"/>
      <c r="P51" s="197"/>
      <c r="Q51" s="198">
        <f>B51+H51</f>
        <v>0</v>
      </c>
      <c r="R51" s="197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24.75" customHeight="1" x14ac:dyDescent="0.25">
      <c r="A52" s="199" t="s">
        <v>35</v>
      </c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31.5" customHeight="1" thickBot="1" x14ac:dyDescent="0.3">
      <c r="A53" s="201" t="s">
        <v>36</v>
      </c>
      <c r="B53" s="201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202" t="s">
        <v>37</v>
      </c>
      <c r="P53" s="202"/>
      <c r="Q53" s="152"/>
      <c r="R53" s="152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15.75" customHeight="1" x14ac:dyDescent="0.25">
      <c r="A54" s="121"/>
      <c r="B54" s="90"/>
      <c r="C54" s="90"/>
      <c r="D54" s="91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193" t="s">
        <v>38</v>
      </c>
      <c r="B55" s="194"/>
      <c r="C55" s="125"/>
      <c r="D55" s="126"/>
      <c r="E55" s="38"/>
      <c r="F55" s="127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23.25" customHeight="1" x14ac:dyDescent="0.25">
      <c r="A56" s="193" t="s">
        <v>39</v>
      </c>
      <c r="B56" s="194"/>
      <c r="C56" s="123"/>
      <c r="D56" s="124"/>
      <c r="E56" s="123"/>
      <c r="F56" s="12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5.75" customHeight="1" x14ac:dyDescent="0.25">
      <c r="A57" s="122"/>
      <c r="B57" s="38"/>
      <c r="C57" s="38"/>
      <c r="D57" s="52"/>
      <c r="E57" s="38"/>
      <c r="F57" s="127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51"/>
      <c r="B58" s="38"/>
      <c r="C58" s="38"/>
      <c r="D58" s="52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33">
    <mergeCell ref="A52:R52"/>
    <mergeCell ref="A53:B53"/>
    <mergeCell ref="O53:P53"/>
    <mergeCell ref="A55:B55"/>
    <mergeCell ref="A56:B56"/>
    <mergeCell ref="B51:D51"/>
    <mergeCell ref="E51:G51"/>
    <mergeCell ref="H51:J51"/>
    <mergeCell ref="K51:M51"/>
    <mergeCell ref="N51:P51"/>
    <mergeCell ref="Q51:R51"/>
    <mergeCell ref="B50:D50"/>
    <mergeCell ref="E50:G50"/>
    <mergeCell ref="H50:J50"/>
    <mergeCell ref="K50:M50"/>
    <mergeCell ref="N50:P50"/>
    <mergeCell ref="Q50:R50"/>
    <mergeCell ref="Q48:R48"/>
    <mergeCell ref="B49:D49"/>
    <mergeCell ref="E49:G49"/>
    <mergeCell ref="H49:J49"/>
    <mergeCell ref="K49:M49"/>
    <mergeCell ref="N49:P49"/>
    <mergeCell ref="Q49:R49"/>
    <mergeCell ref="B47:D47"/>
    <mergeCell ref="E47:G47"/>
    <mergeCell ref="H47:J47"/>
    <mergeCell ref="K47:M47"/>
    <mergeCell ref="N47:P47"/>
    <mergeCell ref="B48:D48"/>
    <mergeCell ref="E48:G48"/>
    <mergeCell ref="H48:J48"/>
    <mergeCell ref="K48:M48"/>
    <mergeCell ref="N48:P48"/>
    <mergeCell ref="B45:D45"/>
    <mergeCell ref="E45:G45"/>
    <mergeCell ref="H45:J45"/>
    <mergeCell ref="K45:M45"/>
    <mergeCell ref="N45:P45"/>
    <mergeCell ref="B46:D46"/>
    <mergeCell ref="E46:G46"/>
    <mergeCell ref="H46:J46"/>
    <mergeCell ref="K46:M46"/>
    <mergeCell ref="N46:P46"/>
    <mergeCell ref="Q38:R38"/>
    <mergeCell ref="Q39:R39"/>
    <mergeCell ref="Q40:R40"/>
    <mergeCell ref="B41:D41"/>
    <mergeCell ref="E41:G41"/>
    <mergeCell ref="H41:J41"/>
    <mergeCell ref="K41:M41"/>
    <mergeCell ref="N41:P41"/>
    <mergeCell ref="B44:D44"/>
    <mergeCell ref="E44:G44"/>
    <mergeCell ref="H44:J44"/>
    <mergeCell ref="K44:M44"/>
    <mergeCell ref="N44:P44"/>
    <mergeCell ref="Q44:R44"/>
    <mergeCell ref="B42:D42"/>
    <mergeCell ref="E42:G42"/>
    <mergeCell ref="H42:J42"/>
    <mergeCell ref="K42:M42"/>
    <mergeCell ref="N42:P42"/>
    <mergeCell ref="B43:D43"/>
    <mergeCell ref="E43:G43"/>
    <mergeCell ref="H43:J43"/>
    <mergeCell ref="K43:M43"/>
    <mergeCell ref="N43:P43"/>
    <mergeCell ref="Q32:R32"/>
    <mergeCell ref="Q33:R33"/>
    <mergeCell ref="Q34:R34"/>
    <mergeCell ref="Q35:R35"/>
    <mergeCell ref="Q36:R36"/>
    <mergeCell ref="Q37:R37"/>
    <mergeCell ref="Q26:R26"/>
    <mergeCell ref="Q27:R27"/>
    <mergeCell ref="Q28:R28"/>
    <mergeCell ref="Q29:R29"/>
    <mergeCell ref="Q30:R30"/>
    <mergeCell ref="Q31:R31"/>
    <mergeCell ref="B24:D24"/>
    <mergeCell ref="E24:G24"/>
    <mergeCell ref="H24:J24"/>
    <mergeCell ref="K24:M24"/>
    <mergeCell ref="N24:P24"/>
    <mergeCell ref="B25:D25"/>
    <mergeCell ref="E25:G25"/>
    <mergeCell ref="H25:J25"/>
    <mergeCell ref="K25:M25"/>
    <mergeCell ref="N25:P25"/>
    <mergeCell ref="Q20:R20"/>
    <mergeCell ref="Q21:R21"/>
    <mergeCell ref="Q22:R22"/>
    <mergeCell ref="B23:D23"/>
    <mergeCell ref="E23:G23"/>
    <mergeCell ref="H23:J23"/>
    <mergeCell ref="K23:M23"/>
    <mergeCell ref="N23:P23"/>
    <mergeCell ref="Q14:R14"/>
    <mergeCell ref="Q15:R15"/>
    <mergeCell ref="Q16:R16"/>
    <mergeCell ref="Q17:R17"/>
    <mergeCell ref="Q18:R18"/>
    <mergeCell ref="Q19:R19"/>
    <mergeCell ref="Q8:R8"/>
    <mergeCell ref="Q9:R9"/>
    <mergeCell ref="Q10:R10"/>
    <mergeCell ref="Q11:R11"/>
    <mergeCell ref="Q12:R12"/>
    <mergeCell ref="Q13:R13"/>
    <mergeCell ref="N5:P5"/>
    <mergeCell ref="B6:D6"/>
    <mergeCell ref="E6:G6"/>
    <mergeCell ref="H6:J6"/>
    <mergeCell ref="K6:M6"/>
    <mergeCell ref="N6:P6"/>
    <mergeCell ref="A1:B1"/>
    <mergeCell ref="C1:O1"/>
    <mergeCell ref="P1:R1"/>
    <mergeCell ref="A2:B2"/>
    <mergeCell ref="C2:R2"/>
    <mergeCell ref="A3:B3"/>
    <mergeCell ref="C3:R3"/>
    <mergeCell ref="B4:D4"/>
    <mergeCell ref="E4:G4"/>
    <mergeCell ref="H4:J4"/>
    <mergeCell ref="K4:M4"/>
    <mergeCell ref="N4:P4"/>
    <mergeCell ref="Q4:R7"/>
    <mergeCell ref="B5:D5"/>
    <mergeCell ref="E5:G5"/>
    <mergeCell ref="H5:J5"/>
    <mergeCell ref="K5:M5"/>
  </mergeCells>
  <conditionalFormatting sqref="B23 K41:N41">
    <cfRule type="cellIs" dxfId="1109" priority="7" operator="greaterThan">
      <formula>0</formula>
    </cfRule>
  </conditionalFormatting>
  <conditionalFormatting sqref="B24 K42:N42">
    <cfRule type="cellIs" dxfId="1108" priority="4" operator="greaterThan">
      <formula>1</formula>
    </cfRule>
  </conditionalFormatting>
  <conditionalFormatting sqref="B24:B25 K43:N43">
    <cfRule type="cellIs" dxfId="1107" priority="6" operator="greaterThan">
      <formula>0</formula>
    </cfRule>
  </conditionalFormatting>
  <conditionalFormatting sqref="B41">
    <cfRule type="cellIs" dxfId="1106" priority="20" operator="greaterThan">
      <formula>0</formula>
    </cfRule>
  </conditionalFormatting>
  <conditionalFormatting sqref="B42">
    <cfRule type="cellIs" dxfId="1105" priority="77" operator="greaterThan">
      <formula>1</formula>
    </cfRule>
    <cfRule type="cellIs" dxfId="1104" priority="17" operator="greaterThan">
      <formula>1</formula>
    </cfRule>
  </conditionalFormatting>
  <conditionalFormatting sqref="B42:B43">
    <cfRule type="cellIs" dxfId="1103" priority="19" operator="greaterThan">
      <formula>0</formula>
    </cfRule>
    <cfRule type="cellIs" dxfId="1102" priority="79" operator="greaterThan">
      <formula>0</formula>
    </cfRule>
  </conditionalFormatting>
  <conditionalFormatting sqref="B45">
    <cfRule type="cellIs" dxfId="1101" priority="14" operator="greaterThan">
      <formula>0</formula>
    </cfRule>
  </conditionalFormatting>
  <conditionalFormatting sqref="B46">
    <cfRule type="cellIs" dxfId="1100" priority="11" operator="greaterThan">
      <formula>1</formula>
    </cfRule>
  </conditionalFormatting>
  <conditionalFormatting sqref="B46:B47">
    <cfRule type="cellIs" dxfId="1099" priority="13" operator="greaterThan">
      <formula>0</formula>
    </cfRule>
  </conditionalFormatting>
  <conditionalFormatting sqref="B25:D25">
    <cfRule type="cellIs" dxfId="1098" priority="52" operator="greaterThan">
      <formula>0</formula>
    </cfRule>
  </conditionalFormatting>
  <conditionalFormatting sqref="B43:D43">
    <cfRule type="cellIs" dxfId="1097" priority="82" operator="greaterThan">
      <formula>0</formula>
    </cfRule>
  </conditionalFormatting>
  <conditionalFormatting sqref="B47:M47">
    <cfRule type="cellIs" dxfId="1096" priority="119" operator="greaterThan">
      <formula>0</formula>
    </cfRule>
  </conditionalFormatting>
  <conditionalFormatting sqref="B49:M49">
    <cfRule type="cellIs" dxfId="1095" priority="16" operator="greaterThan">
      <formula>0</formula>
    </cfRule>
  </conditionalFormatting>
  <conditionalFormatting sqref="B4:P5">
    <cfRule type="containsBlanks" dxfId="1094" priority="1">
      <formula>LEN(TRIM(B4))=0</formula>
    </cfRule>
  </conditionalFormatting>
  <conditionalFormatting sqref="B47:P47 R47">
    <cfRule type="cellIs" dxfId="1093" priority="10" operator="greaterThan">
      <formula>0</formula>
    </cfRule>
  </conditionalFormatting>
  <conditionalFormatting sqref="C2:R3">
    <cfRule type="containsBlanks" dxfId="1092" priority="2">
      <formula>LEN(TRIM(C2))=0</formula>
    </cfRule>
  </conditionalFormatting>
  <conditionalFormatting sqref="E24">
    <cfRule type="cellIs" dxfId="1091" priority="53" operator="greaterThan">
      <formula>1</formula>
    </cfRule>
  </conditionalFormatting>
  <conditionalFormatting sqref="E24:E25">
    <cfRule type="cellIs" dxfId="1090" priority="55" operator="greaterThan">
      <formula>0</formula>
    </cfRule>
  </conditionalFormatting>
  <conditionalFormatting sqref="E41">
    <cfRule type="cellIs" dxfId="1089" priority="25" operator="greaterThan">
      <formula>0</formula>
    </cfRule>
  </conditionalFormatting>
  <conditionalFormatting sqref="E42">
    <cfRule type="cellIs" dxfId="1088" priority="22" operator="greaterThan">
      <formula>1</formula>
    </cfRule>
    <cfRule type="cellIs" dxfId="1087" priority="83" operator="greaterThan">
      <formula>1</formula>
    </cfRule>
    <cfRule type="cellIs" dxfId="1086" priority="88" operator="greaterThan">
      <formula>1</formula>
    </cfRule>
  </conditionalFormatting>
  <conditionalFormatting sqref="E42:E43">
    <cfRule type="cellIs" dxfId="1085" priority="24" operator="greaterThan">
      <formula>0</formula>
    </cfRule>
    <cfRule type="cellIs" dxfId="1084" priority="85" operator="greaterThan">
      <formula>0</formula>
    </cfRule>
    <cfRule type="cellIs" dxfId="1083" priority="90" operator="greaterThan">
      <formula>0</formula>
    </cfRule>
  </conditionalFormatting>
  <conditionalFormatting sqref="E45">
    <cfRule type="cellIs" dxfId="1082" priority="40" operator="greaterThan">
      <formula>0</formula>
    </cfRule>
  </conditionalFormatting>
  <conditionalFormatting sqref="E46">
    <cfRule type="cellIs" dxfId="1081" priority="37" operator="greaterThan">
      <formula>1</formula>
    </cfRule>
  </conditionalFormatting>
  <conditionalFormatting sqref="E46:E47">
    <cfRule type="cellIs" dxfId="1080" priority="39" operator="greaterThan">
      <formula>0</formula>
    </cfRule>
  </conditionalFormatting>
  <conditionalFormatting sqref="E25:G25">
    <cfRule type="cellIs" dxfId="1079" priority="58" operator="greaterThan">
      <formula>0</formula>
    </cfRule>
  </conditionalFormatting>
  <conditionalFormatting sqref="E43:G43">
    <cfRule type="cellIs" dxfId="1078" priority="93" operator="greaterThan">
      <formula>0</formula>
    </cfRule>
  </conditionalFormatting>
  <conditionalFormatting sqref="E23:H23">
    <cfRule type="cellIs" dxfId="1077" priority="56" operator="greaterThan">
      <formula>0</formula>
    </cfRule>
  </conditionalFormatting>
  <conditionalFormatting sqref="E24:M24">
    <cfRule type="cellIs" dxfId="1076" priority="72" operator="greaterThan">
      <formula>0</formula>
    </cfRule>
  </conditionalFormatting>
  <conditionalFormatting sqref="E42:M42">
    <cfRule type="cellIs" dxfId="1075" priority="116" operator="greaterThan">
      <formula>0</formula>
    </cfRule>
  </conditionalFormatting>
  <conditionalFormatting sqref="H24">
    <cfRule type="cellIs" dxfId="1074" priority="59" operator="greaterThan">
      <formula>1</formula>
    </cfRule>
  </conditionalFormatting>
  <conditionalFormatting sqref="H24:H25">
    <cfRule type="cellIs" dxfId="1073" priority="61" operator="greaterThan">
      <formula>0</formula>
    </cfRule>
  </conditionalFormatting>
  <conditionalFormatting sqref="H41">
    <cfRule type="cellIs" dxfId="1072" priority="30" operator="greaterThan">
      <formula>0</formula>
    </cfRule>
  </conditionalFormatting>
  <conditionalFormatting sqref="H42">
    <cfRule type="cellIs" dxfId="1071" priority="27" operator="greaterThan">
      <formula>1</formula>
    </cfRule>
    <cfRule type="cellIs" dxfId="1070" priority="99" operator="greaterThan">
      <formula>1</formula>
    </cfRule>
    <cfRule type="cellIs" dxfId="1069" priority="94" operator="greaterThan">
      <formula>1</formula>
    </cfRule>
  </conditionalFormatting>
  <conditionalFormatting sqref="H42:H43">
    <cfRule type="cellIs" dxfId="1068" priority="29" operator="greaterThan">
      <formula>0</formula>
    </cfRule>
    <cfRule type="cellIs" dxfId="1067" priority="96" operator="greaterThan">
      <formula>0</formula>
    </cfRule>
    <cfRule type="cellIs" dxfId="1066" priority="101" operator="greaterThan">
      <formula>0</formula>
    </cfRule>
  </conditionalFormatting>
  <conditionalFormatting sqref="H45">
    <cfRule type="cellIs" dxfId="1065" priority="45" operator="greaterThan">
      <formula>0</formula>
    </cfRule>
  </conditionalFormatting>
  <conditionalFormatting sqref="H46">
    <cfRule type="cellIs" dxfId="1064" priority="42" operator="greaterThan">
      <formula>1</formula>
    </cfRule>
  </conditionalFormatting>
  <conditionalFormatting sqref="H46:H47">
    <cfRule type="cellIs" dxfId="1063" priority="44" operator="greaterThan">
      <formula>0</formula>
    </cfRule>
  </conditionalFormatting>
  <conditionalFormatting sqref="H25:J25">
    <cfRule type="cellIs" dxfId="1062" priority="64" operator="greaterThan">
      <formula>0</formula>
    </cfRule>
  </conditionalFormatting>
  <conditionalFormatting sqref="H43:J43">
    <cfRule type="cellIs" dxfId="1061" priority="104" operator="greaterThan">
      <formula>0</formula>
    </cfRule>
  </conditionalFormatting>
  <conditionalFormatting sqref="K24">
    <cfRule type="cellIs" dxfId="1060" priority="66" operator="greaterThan">
      <formula>1</formula>
    </cfRule>
  </conditionalFormatting>
  <conditionalFormatting sqref="K24:K25">
    <cfRule type="cellIs" dxfId="1059" priority="68" operator="greaterThan">
      <formula>0</formula>
    </cfRule>
  </conditionalFormatting>
  <conditionalFormatting sqref="K42">
    <cfRule type="cellIs" dxfId="1058" priority="105" operator="greaterThan">
      <formula>1</formula>
    </cfRule>
    <cfRule type="cellIs" dxfId="1057" priority="110" operator="greaterThan">
      <formula>1</formula>
    </cfRule>
  </conditionalFormatting>
  <conditionalFormatting sqref="K42:K43">
    <cfRule type="cellIs" dxfId="1056" priority="34" operator="greaterThan">
      <formula>0</formula>
    </cfRule>
    <cfRule type="cellIs" dxfId="1055" priority="107" operator="greaterThan">
      <formula>0</formula>
    </cfRule>
    <cfRule type="cellIs" dxfId="1054" priority="112" operator="greaterThan">
      <formula>0</formula>
    </cfRule>
  </conditionalFormatting>
  <conditionalFormatting sqref="K45">
    <cfRule type="cellIs" dxfId="1053" priority="50" operator="greaterThan">
      <formula>0</formula>
    </cfRule>
  </conditionalFormatting>
  <conditionalFormatting sqref="K46">
    <cfRule type="cellIs" dxfId="1052" priority="47" operator="greaterThan">
      <formula>1</formula>
    </cfRule>
  </conditionalFormatting>
  <conditionalFormatting sqref="K46:K47">
    <cfRule type="cellIs" dxfId="1051" priority="49" operator="greaterThan">
      <formula>0</formula>
    </cfRule>
  </conditionalFormatting>
  <conditionalFormatting sqref="K23:M23">
    <cfRule type="cellIs" dxfId="1050" priority="69" operator="greaterThan">
      <formula>0</formula>
    </cfRule>
  </conditionalFormatting>
  <conditionalFormatting sqref="K25:M25">
    <cfRule type="cellIs" dxfId="1049" priority="71" operator="greaterThan">
      <formula>0</formula>
    </cfRule>
  </conditionalFormatting>
  <conditionalFormatting sqref="K43:M43">
    <cfRule type="cellIs" dxfId="1048" priority="115" operator="greaterThan">
      <formula>0</formula>
    </cfRule>
  </conditionalFormatting>
  <conditionalFormatting sqref="K46:M46">
    <cfRule type="cellIs" dxfId="1047" priority="120" operator="greaterThan">
      <formula>0</formula>
    </cfRule>
  </conditionalFormatting>
  <conditionalFormatting sqref="K46:P46">
    <cfRule type="cellIs" dxfId="1046" priority="9" operator="greaterThan">
      <formula>0</formula>
    </cfRule>
  </conditionalFormatting>
  <pageMargins left="0.25" right="0.25" top="0.75" bottom="0.75" header="0.3" footer="0.3"/>
  <pageSetup scale="7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1699-9668-472F-A505-7F40C2143403}">
  <sheetPr>
    <outlinePr summaryBelow="0" summaryRight="0"/>
    <pageSetUpPr fitToPage="1"/>
  </sheetPr>
  <dimension ref="A1:AC999"/>
  <sheetViews>
    <sheetView zoomScale="84" zoomScaleNormal="100" zoomScaleSheetLayoutView="70" workbookViewId="0">
      <selection activeCell="M32" sqref="M32"/>
    </sheetView>
  </sheetViews>
  <sheetFormatPr defaultColWidth="14.44140625" defaultRowHeight="15" customHeight="1" x14ac:dyDescent="0.25"/>
  <cols>
    <col min="1" max="1" width="24" customWidth="1"/>
    <col min="2" max="16" width="5.33203125" customWidth="1"/>
    <col min="17" max="17" width="17.5546875" bestFit="1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41.25" customHeight="1" thickBot="1" x14ac:dyDescent="0.35">
      <c r="A1" s="228" t="s">
        <v>0</v>
      </c>
      <c r="B1" s="229"/>
      <c r="C1" s="230" t="s">
        <v>1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2">
        <v>46143</v>
      </c>
      <c r="Q1" s="231"/>
      <c r="R1" s="231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233" t="s">
        <v>2</v>
      </c>
      <c r="B2" s="215"/>
      <c r="C2" s="225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7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8" thickBot="1" x14ac:dyDescent="0.35">
      <c r="A3" s="247" t="s">
        <v>3</v>
      </c>
      <c r="B3" s="183"/>
      <c r="C3" s="234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6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54" customHeight="1" x14ac:dyDescent="0.25">
      <c r="A4" s="92" t="s">
        <v>4</v>
      </c>
      <c r="B4" s="240"/>
      <c r="C4" s="241"/>
      <c r="D4" s="242"/>
      <c r="E4" s="240"/>
      <c r="F4" s="241"/>
      <c r="G4" s="242"/>
      <c r="H4" s="240"/>
      <c r="I4" s="241"/>
      <c r="J4" s="242"/>
      <c r="K4" s="240"/>
      <c r="L4" s="241"/>
      <c r="M4" s="242"/>
      <c r="N4" s="240"/>
      <c r="O4" s="241"/>
      <c r="P4" s="242"/>
      <c r="Q4" s="243" t="s">
        <v>5</v>
      </c>
      <c r="R4" s="244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93" t="s">
        <v>6</v>
      </c>
      <c r="B5" s="237"/>
      <c r="C5" s="238"/>
      <c r="D5" s="239"/>
      <c r="E5" s="237"/>
      <c r="F5" s="238"/>
      <c r="G5" s="239"/>
      <c r="H5" s="237"/>
      <c r="I5" s="238"/>
      <c r="J5" s="239"/>
      <c r="K5" s="237"/>
      <c r="L5" s="238"/>
      <c r="M5" s="239"/>
      <c r="N5" s="237"/>
      <c r="O5" s="238"/>
      <c r="P5" s="239"/>
      <c r="Q5" s="245"/>
      <c r="R5" s="180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thickBot="1" x14ac:dyDescent="0.3">
      <c r="A6" s="94" t="s">
        <v>7</v>
      </c>
      <c r="B6" s="237"/>
      <c r="C6" s="238"/>
      <c r="D6" s="239"/>
      <c r="E6" s="237"/>
      <c r="F6" s="238"/>
      <c r="G6" s="239"/>
      <c r="H6" s="237"/>
      <c r="I6" s="238"/>
      <c r="J6" s="239"/>
      <c r="K6" s="237"/>
      <c r="L6" s="238"/>
      <c r="M6" s="239"/>
      <c r="N6" s="237"/>
      <c r="O6" s="238"/>
      <c r="P6" s="239"/>
      <c r="Q6" s="245"/>
      <c r="R6" s="180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thickBot="1" x14ac:dyDescent="0.3">
      <c r="A7" s="153"/>
      <c r="B7" s="95" t="s">
        <v>8</v>
      </c>
      <c r="C7" s="96" t="s">
        <v>9</v>
      </c>
      <c r="D7" s="97" t="s">
        <v>10</v>
      </c>
      <c r="E7" s="95" t="s">
        <v>8</v>
      </c>
      <c r="F7" s="96" t="s">
        <v>9</v>
      </c>
      <c r="G7" s="97" t="s">
        <v>10</v>
      </c>
      <c r="H7" s="95" t="s">
        <v>8</v>
      </c>
      <c r="I7" s="96" t="s">
        <v>9</v>
      </c>
      <c r="J7" s="97" t="s">
        <v>10</v>
      </c>
      <c r="K7" s="95" t="s">
        <v>8</v>
      </c>
      <c r="L7" s="96" t="s">
        <v>9</v>
      </c>
      <c r="M7" s="97" t="s">
        <v>10</v>
      </c>
      <c r="N7" s="95" t="s">
        <v>8</v>
      </c>
      <c r="O7" s="96" t="s">
        <v>9</v>
      </c>
      <c r="P7" s="97" t="s">
        <v>10</v>
      </c>
      <c r="Q7" s="246"/>
      <c r="R7" s="188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8" x14ac:dyDescent="0.25">
      <c r="A8" s="98">
        <v>46143</v>
      </c>
      <c r="B8" s="140"/>
      <c r="C8" s="141"/>
      <c r="D8" s="142"/>
      <c r="E8" s="143"/>
      <c r="F8" s="141"/>
      <c r="G8" s="142"/>
      <c r="H8" s="143"/>
      <c r="I8" s="141"/>
      <c r="J8" s="142"/>
      <c r="K8" s="143"/>
      <c r="L8" s="141"/>
      <c r="M8" s="142"/>
      <c r="N8" s="143"/>
      <c r="O8" s="141"/>
      <c r="P8" s="142"/>
      <c r="Q8" s="248"/>
      <c r="R8" s="20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8" x14ac:dyDescent="0.25">
      <c r="A9" s="99">
        <f t="shared" ref="A9:A22" si="0">A8+1</f>
        <v>46144</v>
      </c>
      <c r="B9" s="133"/>
      <c r="C9" s="134"/>
      <c r="D9" s="135"/>
      <c r="E9" s="136"/>
      <c r="F9" s="134"/>
      <c r="G9" s="135"/>
      <c r="H9" s="136"/>
      <c r="I9" s="134"/>
      <c r="J9" s="135"/>
      <c r="K9" s="136"/>
      <c r="L9" s="134"/>
      <c r="M9" s="135"/>
      <c r="N9" s="136"/>
      <c r="O9" s="134"/>
      <c r="P9" s="135"/>
      <c r="Q9" s="224"/>
      <c r="R9" s="191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3.8" x14ac:dyDescent="0.25">
      <c r="A10" s="100">
        <f t="shared" si="0"/>
        <v>46145</v>
      </c>
      <c r="B10" s="140"/>
      <c r="C10" s="137"/>
      <c r="D10" s="138"/>
      <c r="E10" s="139"/>
      <c r="F10" s="137"/>
      <c r="G10" s="138"/>
      <c r="H10" s="139"/>
      <c r="I10" s="137"/>
      <c r="J10" s="138"/>
      <c r="K10" s="139"/>
      <c r="L10" s="137"/>
      <c r="M10" s="138"/>
      <c r="N10" s="139"/>
      <c r="O10" s="137"/>
      <c r="P10" s="138"/>
      <c r="Q10" s="204"/>
      <c r="R10" s="191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8" x14ac:dyDescent="0.25">
      <c r="A11" s="100">
        <f t="shared" si="0"/>
        <v>46146</v>
      </c>
      <c r="B11" s="140"/>
      <c r="C11" s="137"/>
      <c r="D11" s="138"/>
      <c r="E11" s="139"/>
      <c r="F11" s="137"/>
      <c r="G11" s="138"/>
      <c r="H11" s="139"/>
      <c r="I11" s="137"/>
      <c r="J11" s="138"/>
      <c r="K11" s="139"/>
      <c r="L11" s="137"/>
      <c r="M11" s="138"/>
      <c r="N11" s="139"/>
      <c r="O11" s="137"/>
      <c r="P11" s="138"/>
      <c r="Q11" s="204"/>
      <c r="R11" s="191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8" x14ac:dyDescent="0.25">
      <c r="A12" s="100">
        <f t="shared" si="0"/>
        <v>46147</v>
      </c>
      <c r="B12" s="140"/>
      <c r="C12" s="137"/>
      <c r="D12" s="138"/>
      <c r="E12" s="139"/>
      <c r="F12" s="137"/>
      <c r="G12" s="138"/>
      <c r="H12" s="139"/>
      <c r="I12" s="137"/>
      <c r="J12" s="138"/>
      <c r="K12" s="139"/>
      <c r="L12" s="137"/>
      <c r="M12" s="138"/>
      <c r="N12" s="139"/>
      <c r="O12" s="137"/>
      <c r="P12" s="138"/>
      <c r="Q12" s="204" t="s">
        <v>47</v>
      </c>
      <c r="R12" s="191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8" x14ac:dyDescent="0.25">
      <c r="A13" s="100">
        <f t="shared" si="0"/>
        <v>46148</v>
      </c>
      <c r="B13" s="140"/>
      <c r="C13" s="137"/>
      <c r="D13" s="138"/>
      <c r="E13" s="139"/>
      <c r="F13" s="137"/>
      <c r="G13" s="138"/>
      <c r="H13" s="139"/>
      <c r="I13" s="137"/>
      <c r="J13" s="138"/>
      <c r="K13" s="139"/>
      <c r="L13" s="137"/>
      <c r="M13" s="138"/>
      <c r="N13" s="139"/>
      <c r="O13" s="137"/>
      <c r="P13" s="138"/>
      <c r="Q13" s="204"/>
      <c r="R13" s="191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8" x14ac:dyDescent="0.25">
      <c r="A14" s="100">
        <f t="shared" si="0"/>
        <v>46149</v>
      </c>
      <c r="B14" s="140"/>
      <c r="C14" s="137"/>
      <c r="D14" s="138"/>
      <c r="E14" s="139"/>
      <c r="F14" s="137"/>
      <c r="G14" s="138"/>
      <c r="H14" s="139"/>
      <c r="I14" s="137"/>
      <c r="J14" s="138"/>
      <c r="K14" s="139"/>
      <c r="L14" s="137"/>
      <c r="M14" s="138"/>
      <c r="N14" s="139"/>
      <c r="O14" s="137"/>
      <c r="P14" s="138"/>
      <c r="Q14" s="204"/>
      <c r="R14" s="191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8" x14ac:dyDescent="0.25">
      <c r="A15" s="100">
        <f t="shared" si="0"/>
        <v>46150</v>
      </c>
      <c r="B15" s="140"/>
      <c r="C15" s="137"/>
      <c r="D15" s="138"/>
      <c r="E15" s="139"/>
      <c r="F15" s="137"/>
      <c r="G15" s="138"/>
      <c r="H15" s="139"/>
      <c r="I15" s="137"/>
      <c r="J15" s="138"/>
      <c r="K15" s="139"/>
      <c r="L15" s="137"/>
      <c r="M15" s="138"/>
      <c r="N15" s="139"/>
      <c r="O15" s="137"/>
      <c r="P15" s="138"/>
      <c r="Q15" s="205"/>
      <c r="R15" s="191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8" x14ac:dyDescent="0.25">
      <c r="A16" s="100">
        <f t="shared" si="0"/>
        <v>46151</v>
      </c>
      <c r="B16" s="140"/>
      <c r="C16" s="137"/>
      <c r="D16" s="138"/>
      <c r="E16" s="139"/>
      <c r="F16" s="137"/>
      <c r="G16" s="138"/>
      <c r="H16" s="139"/>
      <c r="I16" s="137"/>
      <c r="J16" s="138"/>
      <c r="K16" s="139"/>
      <c r="L16" s="137"/>
      <c r="M16" s="138"/>
      <c r="N16" s="139"/>
      <c r="O16" s="137"/>
      <c r="P16" s="138"/>
      <c r="Q16" s="204"/>
      <c r="R16" s="191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4.4" x14ac:dyDescent="0.3">
      <c r="A17" s="100">
        <f t="shared" si="0"/>
        <v>46152</v>
      </c>
      <c r="B17" s="140"/>
      <c r="C17" s="137"/>
      <c r="D17" s="138"/>
      <c r="E17" s="139"/>
      <c r="F17" s="137"/>
      <c r="G17" s="138"/>
      <c r="H17" s="139"/>
      <c r="I17" s="137"/>
      <c r="J17" s="138"/>
      <c r="K17" s="139"/>
      <c r="L17" s="137"/>
      <c r="M17" s="138"/>
      <c r="N17" s="139"/>
      <c r="O17" s="137"/>
      <c r="P17" s="138"/>
      <c r="Q17" s="205" t="s">
        <v>48</v>
      </c>
      <c r="R17" s="191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4.4" x14ac:dyDescent="0.3">
      <c r="A18" s="100">
        <f t="shared" si="0"/>
        <v>46153</v>
      </c>
      <c r="B18" s="140"/>
      <c r="C18" s="137"/>
      <c r="D18" s="138"/>
      <c r="E18" s="139"/>
      <c r="F18" s="137"/>
      <c r="G18" s="138"/>
      <c r="H18" s="139"/>
      <c r="I18" s="137"/>
      <c r="J18" s="138"/>
      <c r="K18" s="139"/>
      <c r="L18" s="137"/>
      <c r="M18" s="138"/>
      <c r="N18" s="139"/>
      <c r="O18" s="137"/>
      <c r="P18" s="138"/>
      <c r="Q18" s="205"/>
      <c r="R18" s="191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4.4" x14ac:dyDescent="0.3">
      <c r="A19" s="100">
        <f t="shared" si="0"/>
        <v>46154</v>
      </c>
      <c r="B19" s="140"/>
      <c r="C19" s="137"/>
      <c r="D19" s="138"/>
      <c r="E19" s="139"/>
      <c r="F19" s="137"/>
      <c r="G19" s="138"/>
      <c r="H19" s="139"/>
      <c r="I19" s="137"/>
      <c r="J19" s="138"/>
      <c r="K19" s="139"/>
      <c r="L19" s="137"/>
      <c r="M19" s="138"/>
      <c r="N19" s="139"/>
      <c r="O19" s="137"/>
      <c r="P19" s="138"/>
      <c r="Q19" s="205"/>
      <c r="R19" s="191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4.4" x14ac:dyDescent="0.3">
      <c r="A20" s="100">
        <f t="shared" si="0"/>
        <v>46155</v>
      </c>
      <c r="B20" s="140"/>
      <c r="C20" s="137"/>
      <c r="D20" s="138"/>
      <c r="E20" s="139"/>
      <c r="F20" s="137"/>
      <c r="G20" s="138"/>
      <c r="H20" s="139"/>
      <c r="I20" s="137"/>
      <c r="J20" s="138"/>
      <c r="K20" s="139"/>
      <c r="L20" s="137"/>
      <c r="M20" s="138"/>
      <c r="N20" s="139"/>
      <c r="O20" s="137"/>
      <c r="P20" s="138"/>
      <c r="Q20" s="221"/>
      <c r="R20" s="220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100">
        <f t="shared" si="0"/>
        <v>46156</v>
      </c>
      <c r="B21" s="140"/>
      <c r="C21" s="137"/>
      <c r="D21" s="138"/>
      <c r="E21" s="139"/>
      <c r="F21" s="137"/>
      <c r="G21" s="138"/>
      <c r="H21" s="139"/>
      <c r="I21" s="137"/>
      <c r="J21" s="138"/>
      <c r="K21" s="139"/>
      <c r="L21" s="137"/>
      <c r="M21" s="138"/>
      <c r="N21" s="139"/>
      <c r="O21" s="137"/>
      <c r="P21" s="138"/>
      <c r="Q21" s="221"/>
      <c r="R21" s="220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thickBot="1" x14ac:dyDescent="0.35">
      <c r="A22" s="101">
        <f t="shared" si="0"/>
        <v>46157</v>
      </c>
      <c r="B22" s="140"/>
      <c r="C22" s="154"/>
      <c r="D22" s="155"/>
      <c r="E22" s="156"/>
      <c r="F22" s="154"/>
      <c r="G22" s="155"/>
      <c r="H22" s="156"/>
      <c r="I22" s="154"/>
      <c r="J22" s="155"/>
      <c r="K22" s="156"/>
      <c r="L22" s="154"/>
      <c r="M22" s="155"/>
      <c r="N22" s="156"/>
      <c r="O22" s="154"/>
      <c r="P22" s="155"/>
      <c r="Q22" s="212"/>
      <c r="R22" s="213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102" t="s">
        <v>17</v>
      </c>
      <c r="B23" s="214">
        <f>SUM(B8:B22)</f>
        <v>0</v>
      </c>
      <c r="C23" s="207"/>
      <c r="D23" s="208"/>
      <c r="E23" s="214">
        <f>SUM(E8:E22)</f>
        <v>0</v>
      </c>
      <c r="F23" s="207"/>
      <c r="G23" s="208"/>
      <c r="H23" s="214">
        <f>SUM(H8:H22)</f>
        <v>0</v>
      </c>
      <c r="I23" s="207"/>
      <c r="J23" s="208"/>
      <c r="K23" s="214">
        <f>SUM(K8:K22)</f>
        <v>0</v>
      </c>
      <c r="L23" s="207"/>
      <c r="M23" s="208"/>
      <c r="N23" s="214">
        <f>SUM(N8:N22)</f>
        <v>0</v>
      </c>
      <c r="O23" s="207"/>
      <c r="P23" s="208"/>
      <c r="Q23" s="103" t="s">
        <v>18</v>
      </c>
      <c r="R23" s="104">
        <f t="shared" ref="R23:R25" si="1">SUM(B23:P23)</f>
        <v>0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25">
      <c r="A24" s="105" t="s">
        <v>20</v>
      </c>
      <c r="B24" s="192">
        <f>SUM(C8:C23)</f>
        <v>0</v>
      </c>
      <c r="C24" s="190"/>
      <c r="D24" s="191"/>
      <c r="E24" s="192">
        <f>SUM(F8:F23)</f>
        <v>0</v>
      </c>
      <c r="F24" s="190"/>
      <c r="G24" s="191"/>
      <c r="H24" s="192">
        <f>SUM(I8:I23)</f>
        <v>0</v>
      </c>
      <c r="I24" s="190"/>
      <c r="J24" s="191"/>
      <c r="K24" s="192">
        <f>SUM(L8:L23)</f>
        <v>0</v>
      </c>
      <c r="L24" s="190"/>
      <c r="M24" s="191"/>
      <c r="N24" s="192">
        <f>SUM(O8:O23)</f>
        <v>0</v>
      </c>
      <c r="O24" s="190"/>
      <c r="P24" s="191"/>
      <c r="Q24" s="106" t="s">
        <v>21</v>
      </c>
      <c r="R24" s="107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thickBot="1" x14ac:dyDescent="0.3">
      <c r="A25" s="108" t="s">
        <v>22</v>
      </c>
      <c r="B25" s="181">
        <f>SUM(D8:D22)</f>
        <v>0</v>
      </c>
      <c r="C25" s="182"/>
      <c r="D25" s="185"/>
      <c r="E25" s="181">
        <f>SUM(G8:G22)</f>
        <v>0</v>
      </c>
      <c r="F25" s="182"/>
      <c r="G25" s="185"/>
      <c r="H25" s="181">
        <f>SUM(J8:J22)</f>
        <v>0</v>
      </c>
      <c r="I25" s="182"/>
      <c r="J25" s="185"/>
      <c r="K25" s="181">
        <f>SUM(M8:M22)</f>
        <v>0</v>
      </c>
      <c r="L25" s="182"/>
      <c r="M25" s="185"/>
      <c r="N25" s="181">
        <f>SUM(P8:P22)</f>
        <v>0</v>
      </c>
      <c r="O25" s="182"/>
      <c r="P25" s="185"/>
      <c r="Q25" s="109" t="s">
        <v>23</v>
      </c>
      <c r="R25" s="110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98">
        <f>A22+1</f>
        <v>46158</v>
      </c>
      <c r="B26" s="151"/>
      <c r="C26" s="159"/>
      <c r="D26" s="160"/>
      <c r="E26" s="161"/>
      <c r="F26" s="159"/>
      <c r="G26" s="160"/>
      <c r="H26" s="161"/>
      <c r="I26" s="159"/>
      <c r="J26" s="160"/>
      <c r="K26" s="161"/>
      <c r="L26" s="159"/>
      <c r="M26" s="160"/>
      <c r="N26" s="161"/>
      <c r="O26" s="159"/>
      <c r="P26" s="160"/>
      <c r="Q26" s="255"/>
      <c r="R26" s="211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100">
        <f t="shared" ref="A27:A41" si="2">A26+1</f>
        <v>46159</v>
      </c>
      <c r="B27" s="151"/>
      <c r="C27" s="137"/>
      <c r="D27" s="138"/>
      <c r="E27" s="139"/>
      <c r="F27" s="137"/>
      <c r="G27" s="138"/>
      <c r="H27" s="139"/>
      <c r="I27" s="137"/>
      <c r="J27" s="138"/>
      <c r="K27" s="139"/>
      <c r="L27" s="137"/>
      <c r="M27" s="138"/>
      <c r="N27" s="139"/>
      <c r="O27" s="137"/>
      <c r="P27" s="138"/>
      <c r="Q27" s="219"/>
      <c r="R27" s="220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100">
        <f t="shared" si="2"/>
        <v>46160</v>
      </c>
      <c r="B28" s="151"/>
      <c r="C28" s="137"/>
      <c r="D28" s="138"/>
      <c r="E28" s="139"/>
      <c r="F28" s="137"/>
      <c r="G28" s="138"/>
      <c r="H28" s="139"/>
      <c r="I28" s="137"/>
      <c r="J28" s="138"/>
      <c r="K28" s="139"/>
      <c r="L28" s="137"/>
      <c r="M28" s="138"/>
      <c r="N28" s="139"/>
      <c r="O28" s="137"/>
      <c r="P28" s="138"/>
      <c r="Q28" s="204"/>
      <c r="R28" s="191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100">
        <f t="shared" si="2"/>
        <v>46161</v>
      </c>
      <c r="B29" s="151"/>
      <c r="C29" s="137"/>
      <c r="D29" s="138"/>
      <c r="E29" s="139"/>
      <c r="F29" s="137"/>
      <c r="G29" s="138"/>
      <c r="H29" s="139"/>
      <c r="I29" s="137"/>
      <c r="J29" s="138"/>
      <c r="K29" s="139"/>
      <c r="L29" s="137"/>
      <c r="M29" s="138"/>
      <c r="N29" s="139"/>
      <c r="O29" s="137"/>
      <c r="P29" s="138"/>
      <c r="Q29" s="204"/>
      <c r="R29" s="191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100">
        <f t="shared" si="2"/>
        <v>46162</v>
      </c>
      <c r="B30" s="151"/>
      <c r="C30" s="137"/>
      <c r="D30" s="138"/>
      <c r="E30" s="139"/>
      <c r="F30" s="137"/>
      <c r="G30" s="138"/>
      <c r="H30" s="139"/>
      <c r="I30" s="137"/>
      <c r="J30" s="138"/>
      <c r="K30" s="139"/>
      <c r="L30" s="137"/>
      <c r="M30" s="138"/>
      <c r="N30" s="139"/>
      <c r="O30" s="137"/>
      <c r="P30" s="138"/>
      <c r="Q30" s="204"/>
      <c r="R30" s="191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100">
        <f t="shared" si="2"/>
        <v>46163</v>
      </c>
      <c r="B31" s="151"/>
      <c r="C31" s="137"/>
      <c r="D31" s="138"/>
      <c r="E31" s="139"/>
      <c r="F31" s="137"/>
      <c r="G31" s="138"/>
      <c r="H31" s="139"/>
      <c r="I31" s="137"/>
      <c r="J31" s="138"/>
      <c r="K31" s="139"/>
      <c r="L31" s="137"/>
      <c r="M31" s="138"/>
      <c r="N31" s="139"/>
      <c r="O31" s="137"/>
      <c r="P31" s="138"/>
      <c r="Q31" s="221"/>
      <c r="R31" s="191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100">
        <f t="shared" si="2"/>
        <v>46164</v>
      </c>
      <c r="B32" s="151"/>
      <c r="C32" s="137"/>
      <c r="D32" s="138"/>
      <c r="E32" s="139"/>
      <c r="F32" s="137"/>
      <c r="G32" s="138"/>
      <c r="H32" s="139"/>
      <c r="I32" s="137"/>
      <c r="J32" s="138"/>
      <c r="K32" s="139"/>
      <c r="L32" s="137"/>
      <c r="M32" s="138"/>
      <c r="N32" s="139"/>
      <c r="O32" s="137"/>
      <c r="P32" s="138"/>
      <c r="Q32" s="204"/>
      <c r="R32" s="191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100">
        <f t="shared" si="2"/>
        <v>46165</v>
      </c>
      <c r="B33" s="151"/>
      <c r="C33" s="137"/>
      <c r="D33" s="138"/>
      <c r="E33" s="139"/>
      <c r="F33" s="137"/>
      <c r="G33" s="138"/>
      <c r="H33" s="139"/>
      <c r="I33" s="137"/>
      <c r="J33" s="138"/>
      <c r="K33" s="139"/>
      <c r="L33" s="137"/>
      <c r="M33" s="138"/>
      <c r="N33" s="139"/>
      <c r="O33" s="137"/>
      <c r="P33" s="138"/>
      <c r="Q33" s="205"/>
      <c r="R33" s="191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100">
        <f t="shared" si="2"/>
        <v>46166</v>
      </c>
      <c r="B34" s="151"/>
      <c r="C34" s="137"/>
      <c r="D34" s="138"/>
      <c r="E34" s="139"/>
      <c r="F34" s="137"/>
      <c r="G34" s="138"/>
      <c r="H34" s="139"/>
      <c r="I34" s="137"/>
      <c r="J34" s="138"/>
      <c r="K34" s="139"/>
      <c r="L34" s="137"/>
      <c r="M34" s="138"/>
      <c r="N34" s="139"/>
      <c r="O34" s="137"/>
      <c r="P34" s="138"/>
      <c r="Q34" s="204"/>
      <c r="R34" s="191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149">
        <f t="shared" si="2"/>
        <v>46167</v>
      </c>
      <c r="B35" s="162"/>
      <c r="C35" s="144"/>
      <c r="D35" s="145"/>
      <c r="E35" s="146"/>
      <c r="F35" s="144"/>
      <c r="G35" s="145"/>
      <c r="H35" s="146"/>
      <c r="I35" s="144"/>
      <c r="J35" s="145"/>
      <c r="K35" s="146"/>
      <c r="L35" s="144"/>
      <c r="M35" s="145"/>
      <c r="N35" s="146"/>
      <c r="O35" s="144"/>
      <c r="P35" s="145"/>
      <c r="Q35" s="256" t="s">
        <v>12</v>
      </c>
      <c r="R35" s="257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100">
        <f>A35+1</f>
        <v>46168</v>
      </c>
      <c r="B36" s="151"/>
      <c r="C36" s="137"/>
      <c r="D36" s="138"/>
      <c r="E36" s="139"/>
      <c r="F36" s="137"/>
      <c r="G36" s="138"/>
      <c r="H36" s="139"/>
      <c r="I36" s="137"/>
      <c r="J36" s="138"/>
      <c r="K36" s="139"/>
      <c r="L36" s="137"/>
      <c r="M36" s="138"/>
      <c r="N36" s="139"/>
      <c r="O36" s="137"/>
      <c r="P36" s="138"/>
      <c r="Q36" s="204"/>
      <c r="R36" s="191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100">
        <f t="shared" si="2"/>
        <v>46169</v>
      </c>
      <c r="B37" s="151"/>
      <c r="C37" s="137"/>
      <c r="D37" s="138"/>
      <c r="E37" s="139"/>
      <c r="F37" s="137"/>
      <c r="G37" s="138"/>
      <c r="H37" s="139"/>
      <c r="I37" s="137"/>
      <c r="J37" s="138"/>
      <c r="K37" s="139"/>
      <c r="L37" s="137"/>
      <c r="M37" s="138"/>
      <c r="N37" s="139"/>
      <c r="O37" s="137"/>
      <c r="P37" s="138"/>
      <c r="Q37" s="204"/>
      <c r="R37" s="191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100">
        <f t="shared" si="2"/>
        <v>46170</v>
      </c>
      <c r="B38" s="151"/>
      <c r="C38" s="137"/>
      <c r="D38" s="138"/>
      <c r="E38" s="139"/>
      <c r="F38" s="137"/>
      <c r="G38" s="138"/>
      <c r="H38" s="139"/>
      <c r="I38" s="137"/>
      <c r="J38" s="138"/>
      <c r="K38" s="139"/>
      <c r="L38" s="137"/>
      <c r="M38" s="138"/>
      <c r="N38" s="139"/>
      <c r="O38" s="137"/>
      <c r="P38" s="138"/>
      <c r="Q38" s="204"/>
      <c r="R38" s="191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100">
        <f t="shared" si="2"/>
        <v>46171</v>
      </c>
      <c r="B39" s="151"/>
      <c r="C39" s="137"/>
      <c r="D39" s="138"/>
      <c r="E39" s="139"/>
      <c r="F39" s="137"/>
      <c r="G39" s="138"/>
      <c r="H39" s="139"/>
      <c r="I39" s="137"/>
      <c r="J39" s="138"/>
      <c r="K39" s="139"/>
      <c r="L39" s="137"/>
      <c r="M39" s="138"/>
      <c r="N39" s="139"/>
      <c r="O39" s="137"/>
      <c r="P39" s="138"/>
      <c r="Q39" s="204"/>
      <c r="R39" s="191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x14ac:dyDescent="0.25">
      <c r="A40" s="100">
        <f t="shared" si="2"/>
        <v>46172</v>
      </c>
      <c r="B40" s="151"/>
      <c r="C40" s="137"/>
      <c r="D40" s="138"/>
      <c r="E40" s="139"/>
      <c r="F40" s="137"/>
      <c r="G40" s="138"/>
      <c r="H40" s="139"/>
      <c r="I40" s="137"/>
      <c r="J40" s="138"/>
      <c r="K40" s="139"/>
      <c r="L40" s="137"/>
      <c r="M40" s="138"/>
      <c r="N40" s="139"/>
      <c r="O40" s="137"/>
      <c r="P40" s="138"/>
      <c r="Q40" s="204"/>
      <c r="R40" s="191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15.75" customHeight="1" thickBot="1" x14ac:dyDescent="0.3">
      <c r="A41" s="100">
        <f t="shared" si="2"/>
        <v>46173</v>
      </c>
      <c r="B41" s="151"/>
      <c r="C41" s="137"/>
      <c r="D41" s="138"/>
      <c r="E41" s="139"/>
      <c r="F41" s="137"/>
      <c r="G41" s="138"/>
      <c r="H41" s="139"/>
      <c r="I41" s="137"/>
      <c r="J41" s="138"/>
      <c r="K41" s="139"/>
      <c r="L41" s="137"/>
      <c r="M41" s="138"/>
      <c r="N41" s="139"/>
      <c r="O41" s="137"/>
      <c r="P41" s="138"/>
      <c r="Q41" s="204"/>
      <c r="R41" s="191"/>
      <c r="S41" s="6"/>
      <c r="T41" s="6"/>
      <c r="U41" s="38"/>
      <c r="V41" s="38"/>
      <c r="W41" s="6"/>
      <c r="X41" s="6"/>
      <c r="Y41" s="6"/>
      <c r="Z41" s="6"/>
      <c r="AA41" s="6"/>
      <c r="AB41" s="6"/>
      <c r="AC41" s="6"/>
    </row>
    <row r="42" spans="1:29" ht="15.75" customHeight="1" x14ac:dyDescent="0.25">
      <c r="A42" s="111" t="s">
        <v>24</v>
      </c>
      <c r="B42" s="206">
        <f>SUM(B26:B41)</f>
        <v>0</v>
      </c>
      <c r="C42" s="207"/>
      <c r="D42" s="208"/>
      <c r="E42" s="214">
        <f>SUM(E26:E41)</f>
        <v>0</v>
      </c>
      <c r="F42" s="207"/>
      <c r="G42" s="215"/>
      <c r="H42" s="206">
        <f>SUM(H26:H41)</f>
        <v>0</v>
      </c>
      <c r="I42" s="207"/>
      <c r="J42" s="208"/>
      <c r="K42" s="214">
        <f>SUM(K26:K41)</f>
        <v>0</v>
      </c>
      <c r="L42" s="207"/>
      <c r="M42" s="215"/>
      <c r="N42" s="214">
        <f>SUM(N26:N41)</f>
        <v>0</v>
      </c>
      <c r="O42" s="207"/>
      <c r="P42" s="215"/>
      <c r="Q42" s="103" t="s">
        <v>18</v>
      </c>
      <c r="R42" s="112">
        <f t="shared" ref="R42:R44" si="3">SUM(B42:P42)</f>
        <v>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x14ac:dyDescent="0.25">
      <c r="A43" s="113" t="s">
        <v>25</v>
      </c>
      <c r="B43" s="189">
        <f>SUM(C26:C42)</f>
        <v>0</v>
      </c>
      <c r="C43" s="190"/>
      <c r="D43" s="191"/>
      <c r="E43" s="192">
        <f>SUM(F26:F42)</f>
        <v>0</v>
      </c>
      <c r="F43" s="190"/>
      <c r="G43" s="216"/>
      <c r="H43" s="189">
        <f>SUM(I26:I42)</f>
        <v>0</v>
      </c>
      <c r="I43" s="190"/>
      <c r="J43" s="191"/>
      <c r="K43" s="192">
        <f>SUM(L26:L42)</f>
        <v>0</v>
      </c>
      <c r="L43" s="190"/>
      <c r="M43" s="216"/>
      <c r="N43" s="192">
        <f>SUM(O26:O42)</f>
        <v>0</v>
      </c>
      <c r="O43" s="190"/>
      <c r="P43" s="216"/>
      <c r="Q43" s="106" t="s">
        <v>26</v>
      </c>
      <c r="R43" s="114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15.75" customHeight="1" thickBot="1" x14ac:dyDescent="0.3">
      <c r="A44" s="115" t="s">
        <v>27</v>
      </c>
      <c r="B44" s="184">
        <f>SUM(D26:D41)</f>
        <v>0</v>
      </c>
      <c r="C44" s="182"/>
      <c r="D44" s="185"/>
      <c r="E44" s="181">
        <f>SUM(G26:G41)</f>
        <v>0</v>
      </c>
      <c r="F44" s="182"/>
      <c r="G44" s="183"/>
      <c r="H44" s="184">
        <f>SUM(J26:J41)</f>
        <v>0</v>
      </c>
      <c r="I44" s="182"/>
      <c r="J44" s="185"/>
      <c r="K44" s="181">
        <f>SUM(M26:M41)</f>
        <v>0</v>
      </c>
      <c r="L44" s="182"/>
      <c r="M44" s="183"/>
      <c r="N44" s="181">
        <f>SUM(P26:P41)</f>
        <v>0</v>
      </c>
      <c r="O44" s="182"/>
      <c r="P44" s="183"/>
      <c r="Q44" s="109" t="s">
        <v>23</v>
      </c>
      <c r="R44" s="116">
        <f t="shared" si="3"/>
        <v>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21" hidden="1" customHeight="1" x14ac:dyDescent="0.25">
      <c r="A45" s="157"/>
      <c r="B45" s="186" t="str">
        <f>IF(ISBLANK(B6),"",B6)</f>
        <v/>
      </c>
      <c r="C45" s="187"/>
      <c r="D45" s="188"/>
      <c r="E45" s="186" t="str">
        <f>IF(ISBLANK(E6),"",E6)</f>
        <v/>
      </c>
      <c r="F45" s="187"/>
      <c r="G45" s="188"/>
      <c r="H45" s="186" t="str">
        <f>IF(ISBLANK(H6),"",H6)</f>
        <v/>
      </c>
      <c r="I45" s="187"/>
      <c r="J45" s="188"/>
      <c r="K45" s="186" t="str">
        <f>IF(ISBLANK(K6),"",K6)</f>
        <v/>
      </c>
      <c r="L45" s="187"/>
      <c r="M45" s="188"/>
      <c r="N45" s="186" t="str">
        <f>IF(ISBLANK(N6),"",N6)</f>
        <v/>
      </c>
      <c r="O45" s="187"/>
      <c r="P45" s="188"/>
      <c r="Q45" s="179"/>
      <c r="R45" s="180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25">
      <c r="A46" s="117" t="s">
        <v>28</v>
      </c>
      <c r="B46" s="206">
        <f>B23+B42</f>
        <v>0</v>
      </c>
      <c r="C46" s="207"/>
      <c r="D46" s="208"/>
      <c r="E46" s="209">
        <f>E23+E42</f>
        <v>0</v>
      </c>
      <c r="F46" s="210"/>
      <c r="G46" s="211"/>
      <c r="H46" s="209">
        <f>H23+H42</f>
        <v>0</v>
      </c>
      <c r="I46" s="210"/>
      <c r="J46" s="211"/>
      <c r="K46" s="209">
        <f>K23+K42</f>
        <v>0</v>
      </c>
      <c r="L46" s="210"/>
      <c r="M46" s="211"/>
      <c r="N46" s="209">
        <f>N23+N42</f>
        <v>0</v>
      </c>
      <c r="O46" s="210"/>
      <c r="P46" s="211"/>
      <c r="Q46" s="103" t="s">
        <v>18</v>
      </c>
      <c r="R46" s="112">
        <f t="shared" ref="R46:R48" si="4">SUM(B46:P46)</f>
        <v>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x14ac:dyDescent="0.25">
      <c r="A47" s="105" t="s">
        <v>29</v>
      </c>
      <c r="B47" s="192">
        <f>B24+B43</f>
        <v>0</v>
      </c>
      <c r="C47" s="190"/>
      <c r="D47" s="191"/>
      <c r="E47" s="189">
        <f>E24+E43</f>
        <v>0</v>
      </c>
      <c r="F47" s="190"/>
      <c r="G47" s="191"/>
      <c r="H47" s="189">
        <f>H24+H43</f>
        <v>0</v>
      </c>
      <c r="I47" s="190"/>
      <c r="J47" s="191"/>
      <c r="K47" s="189">
        <f>K24+K43</f>
        <v>0</v>
      </c>
      <c r="L47" s="190"/>
      <c r="M47" s="191"/>
      <c r="N47" s="189">
        <f>N24+N43</f>
        <v>0</v>
      </c>
      <c r="O47" s="190"/>
      <c r="P47" s="191"/>
      <c r="Q47" s="106" t="s">
        <v>26</v>
      </c>
      <c r="R47" s="114">
        <f t="shared" si="4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15.75" customHeight="1" thickBot="1" x14ac:dyDescent="0.3">
      <c r="A48" s="118" t="s">
        <v>30</v>
      </c>
      <c r="B48" s="181">
        <f>B25+B44</f>
        <v>0</v>
      </c>
      <c r="C48" s="182"/>
      <c r="D48" s="185"/>
      <c r="E48" s="184">
        <f>E25+E44</f>
        <v>0</v>
      </c>
      <c r="F48" s="182"/>
      <c r="G48" s="185"/>
      <c r="H48" s="184">
        <f>H25+H44</f>
        <v>0</v>
      </c>
      <c r="I48" s="182"/>
      <c r="J48" s="185"/>
      <c r="K48" s="184">
        <f>K25+K44</f>
        <v>0</v>
      </c>
      <c r="L48" s="182"/>
      <c r="M48" s="185"/>
      <c r="N48" s="184">
        <f>N25+N44</f>
        <v>0</v>
      </c>
      <c r="O48" s="182"/>
      <c r="P48" s="185"/>
      <c r="Q48" s="109" t="s">
        <v>23</v>
      </c>
      <c r="R48" s="116">
        <f t="shared" si="4"/>
        <v>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7.5" hidden="1" customHeight="1" x14ac:dyDescent="0.25">
      <c r="A49" s="119"/>
      <c r="B49" s="186" t="str">
        <f>IF(ISBLANK(B10),"",B10)</f>
        <v/>
      </c>
      <c r="C49" s="187"/>
      <c r="D49" s="188"/>
      <c r="E49" s="186" t="str">
        <f>IF(ISBLANK(E10),"",E10)</f>
        <v/>
      </c>
      <c r="F49" s="187"/>
      <c r="G49" s="188"/>
      <c r="H49" s="186" t="str">
        <f>IF(ISBLANK(H10),"",H10)</f>
        <v/>
      </c>
      <c r="I49" s="187"/>
      <c r="J49" s="188"/>
      <c r="K49" s="186" t="str">
        <f>IF(ISBLANK(K10),"",K10)</f>
        <v/>
      </c>
      <c r="L49" s="187"/>
      <c r="M49" s="188"/>
      <c r="N49" s="186" t="str">
        <f>IF(ISBLANK(N10),"",N10)</f>
        <v/>
      </c>
      <c r="O49" s="187"/>
      <c r="P49" s="188"/>
      <c r="Q49" s="179"/>
      <c r="R49" s="180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thickBot="1" x14ac:dyDescent="0.3">
      <c r="A50" s="158" t="s">
        <v>31</v>
      </c>
      <c r="B50" s="203">
        <f>SUM(B46:D48)</f>
        <v>0</v>
      </c>
      <c r="C50" s="187"/>
      <c r="D50" s="188"/>
      <c r="E50" s="198">
        <f>SUM(E46:G48)</f>
        <v>0</v>
      </c>
      <c r="F50" s="196"/>
      <c r="G50" s="197"/>
      <c r="H50" s="198">
        <f>SUM(H46:J48)</f>
        <v>0</v>
      </c>
      <c r="I50" s="196"/>
      <c r="J50" s="197"/>
      <c r="K50" s="198">
        <f>SUM(K46:M48)</f>
        <v>0</v>
      </c>
      <c r="L50" s="196"/>
      <c r="M50" s="197"/>
      <c r="N50" s="198">
        <f>SUM(N46:P48)</f>
        <v>0</v>
      </c>
      <c r="O50" s="196"/>
      <c r="P50" s="197"/>
      <c r="Q50" s="198">
        <f t="shared" ref="Q50:Q51" si="5">SUM(B50:P50)</f>
        <v>0</v>
      </c>
      <c r="R50" s="197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thickBot="1" x14ac:dyDescent="0.3">
      <c r="A51" s="120" t="s">
        <v>32</v>
      </c>
      <c r="B51" s="195">
        <f>(B46+B48)/((NETWORKDAYS($P$1,EOMONTH($P$1,0), HO))*8)</f>
        <v>0</v>
      </c>
      <c r="C51" s="196"/>
      <c r="D51" s="197"/>
      <c r="E51" s="195">
        <f>(E46+E48)/((NETWORKDAYS($P$1,EOMONTH($P$1,0), HO))*8)</f>
        <v>0</v>
      </c>
      <c r="F51" s="196"/>
      <c r="G51" s="197"/>
      <c r="H51" s="195">
        <f>(H46+H48)/((NETWORKDAYS($P$1,EOMONTH($P$1,0), HO))*8)</f>
        <v>0</v>
      </c>
      <c r="I51" s="196"/>
      <c r="J51" s="197"/>
      <c r="K51" s="195">
        <f>(K46+K48)/((NETWORKDAYS($P$1,EOMONTH($P$1,0), HO))*8)</f>
        <v>0</v>
      </c>
      <c r="L51" s="196"/>
      <c r="M51" s="197"/>
      <c r="N51" s="195">
        <f>(N46+N48)/((NETWORKDAYS($P$1,EOMONTH($P$1,0), HO))*8)</f>
        <v>0</v>
      </c>
      <c r="O51" s="196"/>
      <c r="P51" s="197"/>
      <c r="Q51" s="195">
        <f t="shared" si="5"/>
        <v>0</v>
      </c>
      <c r="R51" s="197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15.75" customHeight="1" thickBot="1" x14ac:dyDescent="0.3">
      <c r="A52" s="120" t="s">
        <v>33</v>
      </c>
      <c r="B52" s="198">
        <f>R46+R48</f>
        <v>0</v>
      </c>
      <c r="C52" s="196"/>
      <c r="D52" s="197"/>
      <c r="E52" s="195" t="s">
        <v>21</v>
      </c>
      <c r="F52" s="196"/>
      <c r="G52" s="197"/>
      <c r="H52" s="198">
        <f>R47</f>
        <v>0</v>
      </c>
      <c r="I52" s="196"/>
      <c r="J52" s="197"/>
      <c r="K52" s="198">
        <f>R47</f>
        <v>0</v>
      </c>
      <c r="L52" s="196"/>
      <c r="M52" s="197"/>
      <c r="N52" s="195" t="s">
        <v>34</v>
      </c>
      <c r="O52" s="196"/>
      <c r="P52" s="197"/>
      <c r="Q52" s="198">
        <f>B52+H52</f>
        <v>0</v>
      </c>
      <c r="R52" s="197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24.75" customHeight="1" x14ac:dyDescent="0.25">
      <c r="A53" s="199" t="s">
        <v>35</v>
      </c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31.5" customHeight="1" thickBot="1" x14ac:dyDescent="0.3">
      <c r="A54" s="201" t="s">
        <v>36</v>
      </c>
      <c r="B54" s="201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202" t="s">
        <v>37</v>
      </c>
      <c r="P54" s="202"/>
      <c r="Q54" s="152"/>
      <c r="R54" s="152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121"/>
      <c r="B55" s="90"/>
      <c r="C55" s="90"/>
      <c r="D55" s="91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15.75" customHeight="1" x14ac:dyDescent="0.25">
      <c r="A56" s="193" t="s">
        <v>38</v>
      </c>
      <c r="B56" s="194"/>
      <c r="C56" s="125"/>
      <c r="D56" s="126"/>
      <c r="E56" s="38"/>
      <c r="F56" s="127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23.25" customHeight="1" x14ac:dyDescent="0.25">
      <c r="A57" s="193" t="s">
        <v>39</v>
      </c>
      <c r="B57" s="194"/>
      <c r="C57" s="123"/>
      <c r="D57" s="124"/>
      <c r="E57" s="123"/>
      <c r="F57" s="12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122"/>
      <c r="B58" s="38"/>
      <c r="C58" s="38"/>
      <c r="D58" s="52"/>
      <c r="E58" s="38"/>
      <c r="F58" s="127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spans="1:29" ht="15.75" customHeight="1" x14ac:dyDescent="0.25">
      <c r="A257" s="51"/>
      <c r="B257" s="38"/>
      <c r="C257" s="38"/>
      <c r="D257" s="52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spans="1:29" ht="15.75" customHeight="1" x14ac:dyDescent="0.25"/>
    <row r="259" spans="1:29" ht="15.75" customHeight="1" x14ac:dyDescent="0.25"/>
    <row r="260" spans="1:29" ht="15.75" customHeight="1" x14ac:dyDescent="0.25"/>
    <row r="261" spans="1:29" ht="15.75" customHeight="1" x14ac:dyDescent="0.25"/>
    <row r="262" spans="1:29" ht="15.75" customHeight="1" x14ac:dyDescent="0.25"/>
    <row r="263" spans="1:29" ht="15.75" customHeight="1" x14ac:dyDescent="0.25"/>
    <row r="264" spans="1:29" ht="15.75" customHeight="1" x14ac:dyDescent="0.25"/>
    <row r="265" spans="1:29" ht="15.75" customHeight="1" x14ac:dyDescent="0.25"/>
    <row r="266" spans="1:29" ht="15.75" customHeight="1" x14ac:dyDescent="0.25"/>
    <row r="267" spans="1:29" ht="15.75" customHeight="1" x14ac:dyDescent="0.25"/>
    <row r="268" spans="1:29" ht="15.75" customHeight="1" x14ac:dyDescent="0.25"/>
    <row r="269" spans="1:29" ht="15.75" customHeight="1" x14ac:dyDescent="0.25"/>
    <row r="270" spans="1:29" ht="15.75" customHeight="1" x14ac:dyDescent="0.25"/>
    <row r="271" spans="1:29" ht="15.75" customHeight="1" x14ac:dyDescent="0.25"/>
    <row r="272" spans="1:2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34">
    <mergeCell ref="A1:B1"/>
    <mergeCell ref="C1:O1"/>
    <mergeCell ref="P1:R1"/>
    <mergeCell ref="A2:B2"/>
    <mergeCell ref="C2:R2"/>
    <mergeCell ref="A3:B3"/>
    <mergeCell ref="C3:R3"/>
    <mergeCell ref="Q40:R40"/>
    <mergeCell ref="B4:D4"/>
    <mergeCell ref="E4:G4"/>
    <mergeCell ref="H4:J4"/>
    <mergeCell ref="K4:M4"/>
    <mergeCell ref="N4:P4"/>
    <mergeCell ref="Q4:R7"/>
    <mergeCell ref="B5:D5"/>
    <mergeCell ref="E5:G5"/>
    <mergeCell ref="H5:J5"/>
    <mergeCell ref="K5:M5"/>
    <mergeCell ref="Q8:R8"/>
    <mergeCell ref="Q9:R9"/>
    <mergeCell ref="Q10:R10"/>
    <mergeCell ref="Q11:R11"/>
    <mergeCell ref="Q12:R12"/>
    <mergeCell ref="Q13:R13"/>
    <mergeCell ref="N5:P5"/>
    <mergeCell ref="B6:D6"/>
    <mergeCell ref="E6:G6"/>
    <mergeCell ref="H6:J6"/>
    <mergeCell ref="K6:M6"/>
    <mergeCell ref="N6:P6"/>
    <mergeCell ref="Q20:R20"/>
    <mergeCell ref="Q19:R19"/>
    <mergeCell ref="Q22:R22"/>
    <mergeCell ref="B23:D23"/>
    <mergeCell ref="E23:G23"/>
    <mergeCell ref="H23:J23"/>
    <mergeCell ref="K23:M23"/>
    <mergeCell ref="N23:P23"/>
    <mergeCell ref="Q14:R14"/>
    <mergeCell ref="Q15:R15"/>
    <mergeCell ref="Q16:R16"/>
    <mergeCell ref="Q17:R17"/>
    <mergeCell ref="Q18:R18"/>
    <mergeCell ref="Q21:R21"/>
    <mergeCell ref="Q26:R26"/>
    <mergeCell ref="Q27:R27"/>
    <mergeCell ref="Q28:R28"/>
    <mergeCell ref="Q29:R29"/>
    <mergeCell ref="Q30:R30"/>
    <mergeCell ref="Q31:R31"/>
    <mergeCell ref="B24:D24"/>
    <mergeCell ref="E24:G24"/>
    <mergeCell ref="H24:J24"/>
    <mergeCell ref="K24:M24"/>
    <mergeCell ref="N24:P24"/>
    <mergeCell ref="B25:D25"/>
    <mergeCell ref="E25:G25"/>
    <mergeCell ref="H25:J25"/>
    <mergeCell ref="K25:M25"/>
    <mergeCell ref="N25:P25"/>
    <mergeCell ref="Q38:R38"/>
    <mergeCell ref="Q37:R37"/>
    <mergeCell ref="Q41:R41"/>
    <mergeCell ref="B42:D42"/>
    <mergeCell ref="E42:G42"/>
    <mergeCell ref="H42:J42"/>
    <mergeCell ref="K42:M42"/>
    <mergeCell ref="N42:P42"/>
    <mergeCell ref="Q32:R32"/>
    <mergeCell ref="Q33:R33"/>
    <mergeCell ref="Q34:R34"/>
    <mergeCell ref="Q35:R35"/>
    <mergeCell ref="Q36:R36"/>
    <mergeCell ref="Q39:R39"/>
    <mergeCell ref="B45:D45"/>
    <mergeCell ref="E45:G45"/>
    <mergeCell ref="H45:J45"/>
    <mergeCell ref="K45:M45"/>
    <mergeCell ref="N45:P45"/>
    <mergeCell ref="Q45:R45"/>
    <mergeCell ref="B43:D43"/>
    <mergeCell ref="E43:G43"/>
    <mergeCell ref="H43:J43"/>
    <mergeCell ref="K43:M43"/>
    <mergeCell ref="N43:P43"/>
    <mergeCell ref="B44:D44"/>
    <mergeCell ref="E44:G44"/>
    <mergeCell ref="H44:J44"/>
    <mergeCell ref="K44:M44"/>
    <mergeCell ref="N44:P44"/>
    <mergeCell ref="B46:D46"/>
    <mergeCell ref="E46:G46"/>
    <mergeCell ref="H46:J46"/>
    <mergeCell ref="K46:M46"/>
    <mergeCell ref="N46:P46"/>
    <mergeCell ref="B47:D47"/>
    <mergeCell ref="E47:G47"/>
    <mergeCell ref="H47:J47"/>
    <mergeCell ref="K47:M47"/>
    <mergeCell ref="N47:P47"/>
    <mergeCell ref="B48:D48"/>
    <mergeCell ref="E48:G48"/>
    <mergeCell ref="H48:J48"/>
    <mergeCell ref="K48:M48"/>
    <mergeCell ref="N48:P48"/>
    <mergeCell ref="B49:D49"/>
    <mergeCell ref="E49:G49"/>
    <mergeCell ref="H49:J49"/>
    <mergeCell ref="K49:M49"/>
    <mergeCell ref="N49:P49"/>
    <mergeCell ref="B51:D51"/>
    <mergeCell ref="E51:G51"/>
    <mergeCell ref="H51:J51"/>
    <mergeCell ref="K51:M51"/>
    <mergeCell ref="N51:P51"/>
    <mergeCell ref="Q51:R51"/>
    <mergeCell ref="Q49:R49"/>
    <mergeCell ref="B50:D50"/>
    <mergeCell ref="E50:G50"/>
    <mergeCell ref="H50:J50"/>
    <mergeCell ref="K50:M50"/>
    <mergeCell ref="N50:P50"/>
    <mergeCell ref="Q50:R50"/>
    <mergeCell ref="A53:R53"/>
    <mergeCell ref="A54:B54"/>
    <mergeCell ref="O54:P54"/>
    <mergeCell ref="A56:B56"/>
    <mergeCell ref="A57:B57"/>
    <mergeCell ref="B52:D52"/>
    <mergeCell ref="E52:G52"/>
    <mergeCell ref="H52:J52"/>
    <mergeCell ref="K52:M52"/>
    <mergeCell ref="N52:P52"/>
    <mergeCell ref="Q52:R52"/>
  </mergeCells>
  <conditionalFormatting sqref="B23 K42:N42">
    <cfRule type="cellIs" dxfId="1045" priority="7" operator="greaterThan">
      <formula>0</formula>
    </cfRule>
  </conditionalFormatting>
  <conditionalFormatting sqref="B24 K43:N43">
    <cfRule type="cellIs" dxfId="1044" priority="4" operator="greaterThan">
      <formula>1</formula>
    </cfRule>
  </conditionalFormatting>
  <conditionalFormatting sqref="B24:B25 K44:N44">
    <cfRule type="cellIs" dxfId="1043" priority="6" operator="greaterThan">
      <formula>0</formula>
    </cfRule>
  </conditionalFormatting>
  <conditionalFormatting sqref="B42">
    <cfRule type="cellIs" dxfId="1042" priority="20" operator="greaterThan">
      <formula>0</formula>
    </cfRule>
  </conditionalFormatting>
  <conditionalFormatting sqref="B43">
    <cfRule type="cellIs" dxfId="1041" priority="77" operator="greaterThan">
      <formula>1</formula>
    </cfRule>
    <cfRule type="cellIs" dxfId="1040" priority="17" operator="greaterThan">
      <formula>1</formula>
    </cfRule>
  </conditionalFormatting>
  <conditionalFormatting sqref="B43:B44">
    <cfRule type="cellIs" dxfId="1039" priority="19" operator="greaterThan">
      <formula>0</formula>
    </cfRule>
    <cfRule type="cellIs" dxfId="1038" priority="79" operator="greaterThan">
      <formula>0</formula>
    </cfRule>
  </conditionalFormatting>
  <conditionalFormatting sqref="B46">
    <cfRule type="cellIs" dxfId="1037" priority="14" operator="greaterThan">
      <formula>0</formula>
    </cfRule>
  </conditionalFormatting>
  <conditionalFormatting sqref="B47">
    <cfRule type="cellIs" dxfId="1036" priority="11" operator="greaterThan">
      <formula>1</formula>
    </cfRule>
  </conditionalFormatting>
  <conditionalFormatting sqref="B47:B48">
    <cfRule type="cellIs" dxfId="1035" priority="13" operator="greaterThan">
      <formula>0</formula>
    </cfRule>
  </conditionalFormatting>
  <conditionalFormatting sqref="B25:D25">
    <cfRule type="cellIs" dxfId="1034" priority="52" operator="greaterThan">
      <formula>0</formula>
    </cfRule>
  </conditionalFormatting>
  <conditionalFormatting sqref="B44:D44">
    <cfRule type="cellIs" dxfId="1033" priority="82" operator="greaterThan">
      <formula>0</formula>
    </cfRule>
  </conditionalFormatting>
  <conditionalFormatting sqref="B48:M48">
    <cfRule type="cellIs" dxfId="1032" priority="119" operator="greaterThan">
      <formula>0</formula>
    </cfRule>
  </conditionalFormatting>
  <conditionalFormatting sqref="B50:M50">
    <cfRule type="cellIs" dxfId="1031" priority="16" operator="greaterThan">
      <formula>0</formula>
    </cfRule>
  </conditionalFormatting>
  <conditionalFormatting sqref="B4:P5">
    <cfRule type="containsBlanks" dxfId="1030" priority="1">
      <formula>LEN(TRIM(B4))=0</formula>
    </cfRule>
  </conditionalFormatting>
  <conditionalFormatting sqref="B48:P48 R48">
    <cfRule type="cellIs" dxfId="1029" priority="10" operator="greaterThan">
      <formula>0</formula>
    </cfRule>
  </conditionalFormatting>
  <conditionalFormatting sqref="C2:R3">
    <cfRule type="containsBlanks" dxfId="1028" priority="2">
      <formula>LEN(TRIM(C2))=0</formula>
    </cfRule>
  </conditionalFormatting>
  <conditionalFormatting sqref="E24">
    <cfRule type="cellIs" dxfId="1027" priority="53" operator="greaterThan">
      <formula>1</formula>
    </cfRule>
  </conditionalFormatting>
  <conditionalFormatting sqref="E24:E25">
    <cfRule type="cellIs" dxfId="1026" priority="55" operator="greaterThan">
      <formula>0</formula>
    </cfRule>
  </conditionalFormatting>
  <conditionalFormatting sqref="E42">
    <cfRule type="cellIs" dxfId="1025" priority="25" operator="greaterThan">
      <formula>0</formula>
    </cfRule>
  </conditionalFormatting>
  <conditionalFormatting sqref="E43">
    <cfRule type="cellIs" dxfId="1024" priority="22" operator="greaterThan">
      <formula>1</formula>
    </cfRule>
    <cfRule type="cellIs" dxfId="1023" priority="83" operator="greaterThan">
      <formula>1</formula>
    </cfRule>
    <cfRule type="cellIs" dxfId="1022" priority="88" operator="greaterThan">
      <formula>1</formula>
    </cfRule>
  </conditionalFormatting>
  <conditionalFormatting sqref="E43:E44">
    <cfRule type="cellIs" dxfId="1021" priority="24" operator="greaterThan">
      <formula>0</formula>
    </cfRule>
    <cfRule type="cellIs" dxfId="1020" priority="85" operator="greaterThan">
      <formula>0</formula>
    </cfRule>
    <cfRule type="cellIs" dxfId="1019" priority="90" operator="greaterThan">
      <formula>0</formula>
    </cfRule>
  </conditionalFormatting>
  <conditionalFormatting sqref="E46">
    <cfRule type="cellIs" dxfId="1018" priority="40" operator="greaterThan">
      <formula>0</formula>
    </cfRule>
  </conditionalFormatting>
  <conditionalFormatting sqref="E47">
    <cfRule type="cellIs" dxfId="1017" priority="37" operator="greaterThan">
      <formula>1</formula>
    </cfRule>
  </conditionalFormatting>
  <conditionalFormatting sqref="E47:E48">
    <cfRule type="cellIs" dxfId="1016" priority="39" operator="greaterThan">
      <formula>0</formula>
    </cfRule>
  </conditionalFormatting>
  <conditionalFormatting sqref="E25:G25">
    <cfRule type="cellIs" dxfId="1015" priority="58" operator="greaterThan">
      <formula>0</formula>
    </cfRule>
  </conditionalFormatting>
  <conditionalFormatting sqref="E44:G44">
    <cfRule type="cellIs" dxfId="1014" priority="93" operator="greaterThan">
      <formula>0</formula>
    </cfRule>
  </conditionalFormatting>
  <conditionalFormatting sqref="E23:H23">
    <cfRule type="cellIs" dxfId="1013" priority="56" operator="greaterThan">
      <formula>0</formula>
    </cfRule>
  </conditionalFormatting>
  <conditionalFormatting sqref="E24:M24">
    <cfRule type="cellIs" dxfId="1012" priority="72" operator="greaterThan">
      <formula>0</formula>
    </cfRule>
  </conditionalFormatting>
  <conditionalFormatting sqref="E43:M43">
    <cfRule type="cellIs" dxfId="1011" priority="116" operator="greaterThan">
      <formula>0</formula>
    </cfRule>
  </conditionalFormatting>
  <conditionalFormatting sqref="H24">
    <cfRule type="cellIs" dxfId="1010" priority="59" operator="greaterThan">
      <formula>1</formula>
    </cfRule>
  </conditionalFormatting>
  <conditionalFormatting sqref="H24:H25">
    <cfRule type="cellIs" dxfId="1009" priority="61" operator="greaterThan">
      <formula>0</formula>
    </cfRule>
  </conditionalFormatting>
  <conditionalFormatting sqref="H42">
    <cfRule type="cellIs" dxfId="1008" priority="30" operator="greaterThan">
      <formula>0</formula>
    </cfRule>
  </conditionalFormatting>
  <conditionalFormatting sqref="H43">
    <cfRule type="cellIs" dxfId="1007" priority="27" operator="greaterThan">
      <formula>1</formula>
    </cfRule>
    <cfRule type="cellIs" dxfId="1006" priority="99" operator="greaterThan">
      <formula>1</formula>
    </cfRule>
    <cfRule type="cellIs" dxfId="1005" priority="94" operator="greaterThan">
      <formula>1</formula>
    </cfRule>
  </conditionalFormatting>
  <conditionalFormatting sqref="H43:H44">
    <cfRule type="cellIs" dxfId="1004" priority="29" operator="greaterThan">
      <formula>0</formula>
    </cfRule>
    <cfRule type="cellIs" dxfId="1003" priority="96" operator="greaterThan">
      <formula>0</formula>
    </cfRule>
    <cfRule type="cellIs" dxfId="1002" priority="101" operator="greaterThan">
      <formula>0</formula>
    </cfRule>
  </conditionalFormatting>
  <conditionalFormatting sqref="H46">
    <cfRule type="cellIs" dxfId="1001" priority="45" operator="greaterThan">
      <formula>0</formula>
    </cfRule>
  </conditionalFormatting>
  <conditionalFormatting sqref="H47">
    <cfRule type="cellIs" dxfId="1000" priority="42" operator="greaterThan">
      <formula>1</formula>
    </cfRule>
  </conditionalFormatting>
  <conditionalFormatting sqref="H47:H48">
    <cfRule type="cellIs" dxfId="999" priority="44" operator="greaterThan">
      <formula>0</formula>
    </cfRule>
  </conditionalFormatting>
  <conditionalFormatting sqref="H25:J25">
    <cfRule type="cellIs" dxfId="998" priority="64" operator="greaterThan">
      <formula>0</formula>
    </cfRule>
  </conditionalFormatting>
  <conditionalFormatting sqref="H44:J44">
    <cfRule type="cellIs" dxfId="997" priority="104" operator="greaterThan">
      <formula>0</formula>
    </cfRule>
  </conditionalFormatting>
  <conditionalFormatting sqref="K24">
    <cfRule type="cellIs" dxfId="996" priority="66" operator="greaterThan">
      <formula>1</formula>
    </cfRule>
  </conditionalFormatting>
  <conditionalFormatting sqref="K24:K25">
    <cfRule type="cellIs" dxfId="995" priority="68" operator="greaterThan">
      <formula>0</formula>
    </cfRule>
  </conditionalFormatting>
  <conditionalFormatting sqref="K43">
    <cfRule type="cellIs" dxfId="994" priority="105" operator="greaterThan">
      <formula>1</formula>
    </cfRule>
    <cfRule type="cellIs" dxfId="993" priority="110" operator="greaterThan">
      <formula>1</formula>
    </cfRule>
  </conditionalFormatting>
  <conditionalFormatting sqref="K43:K44">
    <cfRule type="cellIs" dxfId="992" priority="34" operator="greaterThan">
      <formula>0</formula>
    </cfRule>
    <cfRule type="cellIs" dxfId="991" priority="107" operator="greaterThan">
      <formula>0</formula>
    </cfRule>
    <cfRule type="cellIs" dxfId="990" priority="112" operator="greaterThan">
      <formula>0</formula>
    </cfRule>
  </conditionalFormatting>
  <conditionalFormatting sqref="K46">
    <cfRule type="cellIs" dxfId="989" priority="50" operator="greaterThan">
      <formula>0</formula>
    </cfRule>
  </conditionalFormatting>
  <conditionalFormatting sqref="K47">
    <cfRule type="cellIs" dxfId="988" priority="47" operator="greaterThan">
      <formula>1</formula>
    </cfRule>
  </conditionalFormatting>
  <conditionalFormatting sqref="K47:K48">
    <cfRule type="cellIs" dxfId="987" priority="49" operator="greaterThan">
      <formula>0</formula>
    </cfRule>
  </conditionalFormatting>
  <conditionalFormatting sqref="K23:M23">
    <cfRule type="cellIs" dxfId="986" priority="69" operator="greaterThan">
      <formula>0</formula>
    </cfRule>
  </conditionalFormatting>
  <conditionalFormatting sqref="K25:M25">
    <cfRule type="cellIs" dxfId="985" priority="71" operator="greaterThan">
      <formula>0</formula>
    </cfRule>
  </conditionalFormatting>
  <conditionalFormatting sqref="K44:M44">
    <cfRule type="cellIs" dxfId="984" priority="115" operator="greaterThan">
      <formula>0</formula>
    </cfRule>
  </conditionalFormatting>
  <conditionalFormatting sqref="K47:M47">
    <cfRule type="cellIs" dxfId="983" priority="120" operator="greaterThan">
      <formula>0</formula>
    </cfRule>
  </conditionalFormatting>
  <conditionalFormatting sqref="K47:P47">
    <cfRule type="cellIs" dxfId="982" priority="9" operator="greaterThan">
      <formula>0</formula>
    </cfRule>
  </conditionalFormatting>
  <pageMargins left="0.25" right="0.25" top="0.75" bottom="0.75" header="0.3" footer="0.3"/>
  <pageSetup scale="7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DD50-9077-4D21-AA1B-C26BEE744488}">
  <sheetPr>
    <outlinePr summaryBelow="0" summaryRight="0"/>
    <pageSetUpPr fitToPage="1"/>
  </sheetPr>
  <dimension ref="A1:AC998"/>
  <sheetViews>
    <sheetView zoomScale="83" zoomScaleNormal="100" zoomScaleSheetLayoutView="70" workbookViewId="0">
      <selection activeCell="A9" sqref="A9"/>
    </sheetView>
  </sheetViews>
  <sheetFormatPr defaultColWidth="14.44140625" defaultRowHeight="15" customHeight="1" x14ac:dyDescent="0.25"/>
  <cols>
    <col min="1" max="1" width="24" customWidth="1"/>
    <col min="2" max="16" width="5.33203125" customWidth="1"/>
    <col min="17" max="17" width="17.5546875" bestFit="1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41.25" customHeight="1" thickBot="1" x14ac:dyDescent="0.35">
      <c r="A1" s="228" t="s">
        <v>0</v>
      </c>
      <c r="B1" s="229"/>
      <c r="C1" s="230" t="s">
        <v>1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2">
        <v>46174</v>
      </c>
      <c r="Q1" s="231"/>
      <c r="R1" s="231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233" t="s">
        <v>2</v>
      </c>
      <c r="B2" s="215"/>
      <c r="C2" s="225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7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8" thickBot="1" x14ac:dyDescent="0.35">
      <c r="A3" s="247" t="s">
        <v>3</v>
      </c>
      <c r="B3" s="183"/>
      <c r="C3" s="234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6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54" customHeight="1" x14ac:dyDescent="0.25">
      <c r="A4" s="92" t="s">
        <v>4</v>
      </c>
      <c r="B4" s="240"/>
      <c r="C4" s="241"/>
      <c r="D4" s="242"/>
      <c r="E4" s="240"/>
      <c r="F4" s="241"/>
      <c r="G4" s="242"/>
      <c r="H4" s="240"/>
      <c r="I4" s="241"/>
      <c r="J4" s="242"/>
      <c r="K4" s="240"/>
      <c r="L4" s="241"/>
      <c r="M4" s="242"/>
      <c r="N4" s="240"/>
      <c r="O4" s="241"/>
      <c r="P4" s="242"/>
      <c r="Q4" s="243" t="s">
        <v>5</v>
      </c>
      <c r="R4" s="244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93" t="s">
        <v>6</v>
      </c>
      <c r="B5" s="237"/>
      <c r="C5" s="238"/>
      <c r="D5" s="239"/>
      <c r="E5" s="237"/>
      <c r="F5" s="238"/>
      <c r="G5" s="239"/>
      <c r="H5" s="237"/>
      <c r="I5" s="238"/>
      <c r="J5" s="239"/>
      <c r="K5" s="237"/>
      <c r="L5" s="238"/>
      <c r="M5" s="239"/>
      <c r="N5" s="237"/>
      <c r="O5" s="238"/>
      <c r="P5" s="239"/>
      <c r="Q5" s="245"/>
      <c r="R5" s="180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thickBot="1" x14ac:dyDescent="0.3">
      <c r="A6" s="94" t="s">
        <v>7</v>
      </c>
      <c r="B6" s="237"/>
      <c r="C6" s="238"/>
      <c r="D6" s="239"/>
      <c r="E6" s="237"/>
      <c r="F6" s="238"/>
      <c r="G6" s="239"/>
      <c r="H6" s="237"/>
      <c r="I6" s="238"/>
      <c r="J6" s="239"/>
      <c r="K6" s="237"/>
      <c r="L6" s="238"/>
      <c r="M6" s="239"/>
      <c r="N6" s="237"/>
      <c r="O6" s="238"/>
      <c r="P6" s="239"/>
      <c r="Q6" s="245"/>
      <c r="R6" s="180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thickBot="1" x14ac:dyDescent="0.3">
      <c r="A7" s="153"/>
      <c r="B7" s="95" t="s">
        <v>8</v>
      </c>
      <c r="C7" s="96" t="s">
        <v>9</v>
      </c>
      <c r="D7" s="97" t="s">
        <v>10</v>
      </c>
      <c r="E7" s="95" t="s">
        <v>8</v>
      </c>
      <c r="F7" s="96" t="s">
        <v>9</v>
      </c>
      <c r="G7" s="97" t="s">
        <v>10</v>
      </c>
      <c r="H7" s="95" t="s">
        <v>8</v>
      </c>
      <c r="I7" s="96" t="s">
        <v>9</v>
      </c>
      <c r="J7" s="97" t="s">
        <v>10</v>
      </c>
      <c r="K7" s="95" t="s">
        <v>8</v>
      </c>
      <c r="L7" s="96" t="s">
        <v>9</v>
      </c>
      <c r="M7" s="97" t="s">
        <v>10</v>
      </c>
      <c r="N7" s="95" t="s">
        <v>8</v>
      </c>
      <c r="O7" s="96" t="s">
        <v>9</v>
      </c>
      <c r="P7" s="97" t="s">
        <v>10</v>
      </c>
      <c r="Q7" s="246"/>
      <c r="R7" s="188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8" x14ac:dyDescent="0.25">
      <c r="A8" s="98">
        <v>46174</v>
      </c>
      <c r="B8" s="140"/>
      <c r="C8" s="141"/>
      <c r="D8" s="142"/>
      <c r="E8" s="143"/>
      <c r="F8" s="141"/>
      <c r="G8" s="142"/>
      <c r="H8" s="143"/>
      <c r="I8" s="141"/>
      <c r="J8" s="142"/>
      <c r="K8" s="143"/>
      <c r="L8" s="141"/>
      <c r="M8" s="142"/>
      <c r="N8" s="143"/>
      <c r="O8" s="141"/>
      <c r="P8" s="142"/>
      <c r="Q8" s="248"/>
      <c r="R8" s="20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8" x14ac:dyDescent="0.25">
      <c r="A9" s="99">
        <f t="shared" ref="A9:A22" si="0">A8+1</f>
        <v>46175</v>
      </c>
      <c r="B9" s="133"/>
      <c r="C9" s="134"/>
      <c r="D9" s="135"/>
      <c r="E9" s="136"/>
      <c r="F9" s="134"/>
      <c r="G9" s="135"/>
      <c r="H9" s="136"/>
      <c r="I9" s="134"/>
      <c r="J9" s="135"/>
      <c r="K9" s="136"/>
      <c r="L9" s="134"/>
      <c r="M9" s="135"/>
      <c r="N9" s="136"/>
      <c r="O9" s="134"/>
      <c r="P9" s="135"/>
      <c r="Q9" s="224"/>
      <c r="R9" s="191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3.8" x14ac:dyDescent="0.25">
      <c r="A10" s="100">
        <f t="shared" si="0"/>
        <v>46176</v>
      </c>
      <c r="B10" s="140"/>
      <c r="C10" s="137"/>
      <c r="D10" s="138"/>
      <c r="E10" s="139"/>
      <c r="F10" s="137"/>
      <c r="G10" s="138"/>
      <c r="H10" s="139"/>
      <c r="I10" s="137"/>
      <c r="J10" s="138"/>
      <c r="K10" s="139"/>
      <c r="L10" s="137"/>
      <c r="M10" s="138"/>
      <c r="N10" s="139"/>
      <c r="O10" s="137"/>
      <c r="P10" s="138"/>
      <c r="Q10" s="204"/>
      <c r="R10" s="191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8" x14ac:dyDescent="0.25">
      <c r="A11" s="100">
        <f t="shared" si="0"/>
        <v>46177</v>
      </c>
      <c r="B11" s="140"/>
      <c r="C11" s="137"/>
      <c r="D11" s="138"/>
      <c r="E11" s="139"/>
      <c r="F11" s="137"/>
      <c r="G11" s="138"/>
      <c r="H11" s="139"/>
      <c r="I11" s="137"/>
      <c r="J11" s="138"/>
      <c r="K11" s="139"/>
      <c r="L11" s="137"/>
      <c r="M11" s="138"/>
      <c r="N11" s="139"/>
      <c r="O11" s="137"/>
      <c r="P11" s="138"/>
      <c r="Q11" s="204"/>
      <c r="R11" s="191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8" x14ac:dyDescent="0.25">
      <c r="A12" s="100">
        <f t="shared" si="0"/>
        <v>46178</v>
      </c>
      <c r="B12" s="140"/>
      <c r="C12" s="137"/>
      <c r="D12" s="138"/>
      <c r="E12" s="139"/>
      <c r="F12" s="137"/>
      <c r="G12" s="138"/>
      <c r="H12" s="139"/>
      <c r="I12" s="137"/>
      <c r="J12" s="138"/>
      <c r="K12" s="139"/>
      <c r="L12" s="137"/>
      <c r="M12" s="138"/>
      <c r="N12" s="139"/>
      <c r="O12" s="137"/>
      <c r="P12" s="138"/>
      <c r="Q12" s="204"/>
      <c r="R12" s="191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8" x14ac:dyDescent="0.25">
      <c r="A13" s="100">
        <f t="shared" si="0"/>
        <v>46179</v>
      </c>
      <c r="B13" s="140"/>
      <c r="C13" s="137"/>
      <c r="D13" s="138"/>
      <c r="E13" s="139"/>
      <c r="F13" s="137"/>
      <c r="G13" s="138"/>
      <c r="H13" s="139"/>
      <c r="I13" s="137"/>
      <c r="J13" s="138"/>
      <c r="K13" s="139"/>
      <c r="L13" s="137"/>
      <c r="M13" s="138"/>
      <c r="N13" s="139"/>
      <c r="O13" s="137"/>
      <c r="P13" s="138"/>
      <c r="Q13" s="204"/>
      <c r="R13" s="191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8" x14ac:dyDescent="0.25">
      <c r="A14" s="100">
        <f t="shared" si="0"/>
        <v>46180</v>
      </c>
      <c r="B14" s="140"/>
      <c r="C14" s="137"/>
      <c r="D14" s="138"/>
      <c r="E14" s="139"/>
      <c r="F14" s="137"/>
      <c r="G14" s="138"/>
      <c r="H14" s="139"/>
      <c r="I14" s="137"/>
      <c r="J14" s="138"/>
      <c r="K14" s="139"/>
      <c r="L14" s="137"/>
      <c r="M14" s="138"/>
      <c r="N14" s="139"/>
      <c r="O14" s="137"/>
      <c r="P14" s="138"/>
      <c r="Q14" s="204"/>
      <c r="R14" s="191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8" x14ac:dyDescent="0.25">
      <c r="A15" s="100">
        <f t="shared" si="0"/>
        <v>46181</v>
      </c>
      <c r="B15" s="140"/>
      <c r="C15" s="137"/>
      <c r="D15" s="138"/>
      <c r="E15" s="139"/>
      <c r="F15" s="137"/>
      <c r="G15" s="138"/>
      <c r="H15" s="139"/>
      <c r="I15" s="137"/>
      <c r="J15" s="138"/>
      <c r="K15" s="139"/>
      <c r="L15" s="137"/>
      <c r="M15" s="138"/>
      <c r="N15" s="139"/>
      <c r="O15" s="137"/>
      <c r="P15" s="138"/>
      <c r="Q15" s="205"/>
      <c r="R15" s="191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8" x14ac:dyDescent="0.25">
      <c r="A16" s="100">
        <f t="shared" si="0"/>
        <v>46182</v>
      </c>
      <c r="B16" s="140"/>
      <c r="C16" s="137"/>
      <c r="D16" s="138"/>
      <c r="E16" s="139"/>
      <c r="F16" s="137"/>
      <c r="G16" s="138"/>
      <c r="H16" s="139"/>
      <c r="I16" s="137"/>
      <c r="J16" s="138"/>
      <c r="K16" s="139"/>
      <c r="L16" s="137"/>
      <c r="M16" s="138"/>
      <c r="N16" s="139"/>
      <c r="O16" s="137"/>
      <c r="P16" s="138"/>
      <c r="Q16" s="204"/>
      <c r="R16" s="191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4.4" x14ac:dyDescent="0.3">
      <c r="A17" s="100">
        <f t="shared" si="0"/>
        <v>46183</v>
      </c>
      <c r="B17" s="140"/>
      <c r="C17" s="137"/>
      <c r="D17" s="138"/>
      <c r="E17" s="139"/>
      <c r="F17" s="137"/>
      <c r="G17" s="138"/>
      <c r="H17" s="139"/>
      <c r="I17" s="137"/>
      <c r="J17" s="138"/>
      <c r="K17" s="139"/>
      <c r="L17" s="137"/>
      <c r="M17" s="138"/>
      <c r="N17" s="139"/>
      <c r="O17" s="137"/>
      <c r="P17" s="138"/>
      <c r="Q17" s="204"/>
      <c r="R17" s="191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4.4" x14ac:dyDescent="0.3">
      <c r="A18" s="100">
        <f t="shared" si="0"/>
        <v>46184</v>
      </c>
      <c r="B18" s="140"/>
      <c r="C18" s="137"/>
      <c r="D18" s="138"/>
      <c r="E18" s="139"/>
      <c r="F18" s="137"/>
      <c r="G18" s="138"/>
      <c r="H18" s="139"/>
      <c r="I18" s="137"/>
      <c r="J18" s="138"/>
      <c r="K18" s="139"/>
      <c r="L18" s="137"/>
      <c r="M18" s="138"/>
      <c r="N18" s="139"/>
      <c r="O18" s="137"/>
      <c r="P18" s="138"/>
      <c r="Q18" s="205"/>
      <c r="R18" s="191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4.4" x14ac:dyDescent="0.3">
      <c r="A19" s="100">
        <f t="shared" si="0"/>
        <v>46185</v>
      </c>
      <c r="B19" s="140"/>
      <c r="C19" s="137"/>
      <c r="D19" s="138"/>
      <c r="E19" s="139"/>
      <c r="F19" s="137"/>
      <c r="G19" s="138"/>
      <c r="H19" s="139"/>
      <c r="I19" s="137"/>
      <c r="J19" s="138"/>
      <c r="K19" s="139"/>
      <c r="L19" s="137"/>
      <c r="M19" s="138"/>
      <c r="N19" s="139"/>
      <c r="O19" s="137"/>
      <c r="P19" s="138"/>
      <c r="Q19" s="204"/>
      <c r="R19" s="191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4.4" x14ac:dyDescent="0.3">
      <c r="A20" s="100">
        <f t="shared" si="0"/>
        <v>46186</v>
      </c>
      <c r="B20" s="140"/>
      <c r="C20" s="137"/>
      <c r="D20" s="138"/>
      <c r="E20" s="139"/>
      <c r="F20" s="137"/>
      <c r="G20" s="138"/>
      <c r="H20" s="139"/>
      <c r="I20" s="137"/>
      <c r="J20" s="138"/>
      <c r="K20" s="139"/>
      <c r="L20" s="137"/>
      <c r="M20" s="138"/>
      <c r="N20" s="139"/>
      <c r="O20" s="137"/>
      <c r="P20" s="138"/>
      <c r="Q20" s="221"/>
      <c r="R20" s="220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100">
        <f t="shared" si="0"/>
        <v>46187</v>
      </c>
      <c r="B21" s="140"/>
      <c r="C21" s="137"/>
      <c r="D21" s="138"/>
      <c r="E21" s="139"/>
      <c r="F21" s="137"/>
      <c r="G21" s="138"/>
      <c r="H21" s="139"/>
      <c r="I21" s="137"/>
      <c r="J21" s="138"/>
      <c r="K21" s="139"/>
      <c r="L21" s="137"/>
      <c r="M21" s="138"/>
      <c r="N21" s="139"/>
      <c r="O21" s="137"/>
      <c r="P21" s="138"/>
      <c r="Q21" s="204"/>
      <c r="R21" s="191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thickBot="1" x14ac:dyDescent="0.35">
      <c r="A22" s="101">
        <f t="shared" si="0"/>
        <v>46188</v>
      </c>
      <c r="B22" s="140"/>
      <c r="C22" s="154"/>
      <c r="D22" s="155"/>
      <c r="E22" s="156"/>
      <c r="F22" s="154"/>
      <c r="G22" s="155"/>
      <c r="H22" s="156"/>
      <c r="I22" s="154"/>
      <c r="J22" s="155"/>
      <c r="K22" s="156"/>
      <c r="L22" s="154"/>
      <c r="M22" s="155"/>
      <c r="N22" s="156"/>
      <c r="O22" s="154"/>
      <c r="P22" s="155"/>
      <c r="Q22" s="204" t="s">
        <v>49</v>
      </c>
      <c r="R22" s="191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102" t="s">
        <v>17</v>
      </c>
      <c r="B23" s="214">
        <f>SUM(B8:B22)</f>
        <v>0</v>
      </c>
      <c r="C23" s="207"/>
      <c r="D23" s="208"/>
      <c r="E23" s="214">
        <f>SUM(E8:E22)</f>
        <v>0</v>
      </c>
      <c r="F23" s="207"/>
      <c r="G23" s="208"/>
      <c r="H23" s="214">
        <f>SUM(H8:H22)</f>
        <v>0</v>
      </c>
      <c r="I23" s="207"/>
      <c r="J23" s="208"/>
      <c r="K23" s="214">
        <f>SUM(K8:K22)</f>
        <v>0</v>
      </c>
      <c r="L23" s="207"/>
      <c r="M23" s="208"/>
      <c r="N23" s="214">
        <f>SUM(N8:N22)</f>
        <v>0</v>
      </c>
      <c r="O23" s="207"/>
      <c r="P23" s="208"/>
      <c r="Q23" s="103" t="s">
        <v>18</v>
      </c>
      <c r="R23" s="104">
        <f t="shared" ref="R23:R25" si="1">SUM(B23:P23)</f>
        <v>0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25">
      <c r="A24" s="105" t="s">
        <v>20</v>
      </c>
      <c r="B24" s="192">
        <f>SUM(C8:C23)</f>
        <v>0</v>
      </c>
      <c r="C24" s="190"/>
      <c r="D24" s="191"/>
      <c r="E24" s="192">
        <f>SUM(F8:F23)</f>
        <v>0</v>
      </c>
      <c r="F24" s="190"/>
      <c r="G24" s="191"/>
      <c r="H24" s="192">
        <f>SUM(I8:I23)</f>
        <v>0</v>
      </c>
      <c r="I24" s="190"/>
      <c r="J24" s="191"/>
      <c r="K24" s="192">
        <f>SUM(L8:L23)</f>
        <v>0</v>
      </c>
      <c r="L24" s="190"/>
      <c r="M24" s="191"/>
      <c r="N24" s="192">
        <f>SUM(O8:O23)</f>
        <v>0</v>
      </c>
      <c r="O24" s="190"/>
      <c r="P24" s="191"/>
      <c r="Q24" s="106" t="s">
        <v>21</v>
      </c>
      <c r="R24" s="107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thickBot="1" x14ac:dyDescent="0.3">
      <c r="A25" s="108" t="s">
        <v>22</v>
      </c>
      <c r="B25" s="181">
        <f>SUM(D8:D22)</f>
        <v>0</v>
      </c>
      <c r="C25" s="182"/>
      <c r="D25" s="185"/>
      <c r="E25" s="181">
        <f>SUM(G8:G22)</f>
        <v>0</v>
      </c>
      <c r="F25" s="182"/>
      <c r="G25" s="185"/>
      <c r="H25" s="181">
        <f>SUM(J8:J22)</f>
        <v>0</v>
      </c>
      <c r="I25" s="182"/>
      <c r="J25" s="185"/>
      <c r="K25" s="181">
        <f>SUM(M8:M22)</f>
        <v>0</v>
      </c>
      <c r="L25" s="182"/>
      <c r="M25" s="185"/>
      <c r="N25" s="181">
        <f>SUM(P8:P22)</f>
        <v>0</v>
      </c>
      <c r="O25" s="182"/>
      <c r="P25" s="185"/>
      <c r="Q25" s="109" t="s">
        <v>23</v>
      </c>
      <c r="R25" s="110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98">
        <f>A22+1</f>
        <v>46189</v>
      </c>
      <c r="B26" s="151"/>
      <c r="C26" s="159"/>
      <c r="D26" s="160"/>
      <c r="E26" s="161"/>
      <c r="F26" s="159"/>
      <c r="G26" s="160"/>
      <c r="H26" s="161"/>
      <c r="I26" s="159"/>
      <c r="J26" s="160"/>
      <c r="K26" s="161"/>
      <c r="L26" s="159"/>
      <c r="M26" s="160"/>
      <c r="N26" s="161"/>
      <c r="O26" s="159"/>
      <c r="P26" s="160"/>
      <c r="Q26" s="204"/>
      <c r="R26" s="191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100">
        <f t="shared" ref="A27:A40" si="2">A26+1</f>
        <v>46190</v>
      </c>
      <c r="B27" s="151"/>
      <c r="C27" s="137"/>
      <c r="D27" s="138"/>
      <c r="E27" s="139"/>
      <c r="F27" s="137"/>
      <c r="G27" s="138"/>
      <c r="H27" s="139"/>
      <c r="I27" s="137"/>
      <c r="J27" s="138"/>
      <c r="K27" s="139"/>
      <c r="L27" s="137"/>
      <c r="M27" s="138"/>
      <c r="N27" s="139"/>
      <c r="O27" s="137"/>
      <c r="P27" s="138"/>
      <c r="Q27" s="219"/>
      <c r="R27" s="220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100">
        <f t="shared" si="2"/>
        <v>46191</v>
      </c>
      <c r="B28" s="151"/>
      <c r="C28" s="137"/>
      <c r="D28" s="138"/>
      <c r="E28" s="139"/>
      <c r="F28" s="137"/>
      <c r="G28" s="138"/>
      <c r="H28" s="139"/>
      <c r="I28" s="137"/>
      <c r="J28" s="138"/>
      <c r="K28" s="139"/>
      <c r="L28" s="137"/>
      <c r="M28" s="138"/>
      <c r="N28" s="139"/>
      <c r="O28" s="137"/>
      <c r="P28" s="138"/>
      <c r="Q28" s="219"/>
      <c r="R28" s="220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100">
        <f t="shared" si="2"/>
        <v>46192</v>
      </c>
      <c r="B29" s="151"/>
      <c r="C29" s="137"/>
      <c r="D29" s="138"/>
      <c r="E29" s="139"/>
      <c r="F29" s="137"/>
      <c r="G29" s="138"/>
      <c r="H29" s="139"/>
      <c r="I29" s="137"/>
      <c r="J29" s="138"/>
      <c r="K29" s="139"/>
      <c r="L29" s="137"/>
      <c r="M29" s="138"/>
      <c r="N29" s="139"/>
      <c r="O29" s="137"/>
      <c r="P29" s="138"/>
      <c r="Q29" s="204" t="s">
        <v>50</v>
      </c>
      <c r="R29" s="191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100">
        <f t="shared" si="2"/>
        <v>46193</v>
      </c>
      <c r="B30" s="151"/>
      <c r="C30" s="137"/>
      <c r="D30" s="138"/>
      <c r="E30" s="139"/>
      <c r="F30" s="137"/>
      <c r="G30" s="138"/>
      <c r="H30" s="139"/>
      <c r="I30" s="137"/>
      <c r="J30" s="138"/>
      <c r="K30" s="139"/>
      <c r="L30" s="137"/>
      <c r="M30" s="138"/>
      <c r="N30" s="139"/>
      <c r="O30" s="137"/>
      <c r="P30" s="138"/>
      <c r="Q30" s="204"/>
      <c r="R30" s="191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100">
        <f t="shared" si="2"/>
        <v>46194</v>
      </c>
      <c r="B31" s="151"/>
      <c r="C31" s="137"/>
      <c r="D31" s="138"/>
      <c r="E31" s="139"/>
      <c r="F31" s="137"/>
      <c r="G31" s="138"/>
      <c r="H31" s="139"/>
      <c r="I31" s="137"/>
      <c r="J31" s="138"/>
      <c r="K31" s="139"/>
      <c r="L31" s="137"/>
      <c r="M31" s="138"/>
      <c r="N31" s="139"/>
      <c r="O31" s="137"/>
      <c r="P31" s="138"/>
      <c r="Q31" s="221"/>
      <c r="R31" s="191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100">
        <f t="shared" si="2"/>
        <v>46195</v>
      </c>
      <c r="B32" s="151"/>
      <c r="C32" s="137"/>
      <c r="D32" s="138"/>
      <c r="E32" s="139"/>
      <c r="F32" s="137"/>
      <c r="G32" s="138"/>
      <c r="H32" s="139"/>
      <c r="I32" s="137"/>
      <c r="J32" s="138"/>
      <c r="K32" s="139"/>
      <c r="L32" s="137"/>
      <c r="M32" s="138"/>
      <c r="N32" s="139"/>
      <c r="O32" s="137"/>
      <c r="P32" s="138"/>
      <c r="Q32" s="204"/>
      <c r="R32" s="191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100">
        <f t="shared" si="2"/>
        <v>46196</v>
      </c>
      <c r="B33" s="151"/>
      <c r="C33" s="137"/>
      <c r="D33" s="138"/>
      <c r="E33" s="139"/>
      <c r="F33" s="137"/>
      <c r="G33" s="138"/>
      <c r="H33" s="139"/>
      <c r="I33" s="137"/>
      <c r="J33" s="138"/>
      <c r="K33" s="139"/>
      <c r="L33" s="137"/>
      <c r="M33" s="138"/>
      <c r="N33" s="139"/>
      <c r="O33" s="137"/>
      <c r="P33" s="138"/>
      <c r="Q33" s="205"/>
      <c r="R33" s="191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100">
        <f t="shared" si="2"/>
        <v>46197</v>
      </c>
      <c r="B34" s="151"/>
      <c r="C34" s="137"/>
      <c r="D34" s="138"/>
      <c r="E34" s="139"/>
      <c r="F34" s="137"/>
      <c r="G34" s="138"/>
      <c r="H34" s="139"/>
      <c r="I34" s="137"/>
      <c r="J34" s="138"/>
      <c r="K34" s="139"/>
      <c r="L34" s="137"/>
      <c r="M34" s="138"/>
      <c r="N34" s="139"/>
      <c r="O34" s="137"/>
      <c r="P34" s="138"/>
      <c r="Q34" s="204"/>
      <c r="R34" s="191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100">
        <f t="shared" si="2"/>
        <v>46198</v>
      </c>
      <c r="B35" s="151"/>
      <c r="C35" s="137"/>
      <c r="D35" s="138"/>
      <c r="E35" s="139"/>
      <c r="F35" s="137"/>
      <c r="G35" s="138"/>
      <c r="H35" s="139"/>
      <c r="I35" s="137"/>
      <c r="J35" s="138"/>
      <c r="K35" s="139"/>
      <c r="L35" s="137"/>
      <c r="M35" s="138"/>
      <c r="N35" s="139"/>
      <c r="O35" s="137"/>
      <c r="P35" s="138"/>
      <c r="Q35" s="204"/>
      <c r="R35" s="191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100">
        <f t="shared" si="2"/>
        <v>46199</v>
      </c>
      <c r="B36" s="151"/>
      <c r="C36" s="137"/>
      <c r="D36" s="138"/>
      <c r="E36" s="139"/>
      <c r="F36" s="137"/>
      <c r="G36" s="138"/>
      <c r="H36" s="139"/>
      <c r="I36" s="137"/>
      <c r="J36" s="138"/>
      <c r="K36" s="139"/>
      <c r="L36" s="137"/>
      <c r="M36" s="138"/>
      <c r="N36" s="139"/>
      <c r="O36" s="137"/>
      <c r="P36" s="138"/>
      <c r="Q36" s="205"/>
      <c r="R36" s="191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100">
        <f t="shared" si="2"/>
        <v>46200</v>
      </c>
      <c r="B37" s="151"/>
      <c r="C37" s="137"/>
      <c r="D37" s="138"/>
      <c r="E37" s="139"/>
      <c r="F37" s="137"/>
      <c r="G37" s="138"/>
      <c r="H37" s="139"/>
      <c r="I37" s="137"/>
      <c r="J37" s="138"/>
      <c r="K37" s="139"/>
      <c r="L37" s="137"/>
      <c r="M37" s="138"/>
      <c r="N37" s="139"/>
      <c r="O37" s="137"/>
      <c r="P37" s="138"/>
      <c r="Q37" s="204"/>
      <c r="R37" s="191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100">
        <f t="shared" si="2"/>
        <v>46201</v>
      </c>
      <c r="B38" s="151"/>
      <c r="C38" s="137"/>
      <c r="D38" s="138"/>
      <c r="E38" s="139"/>
      <c r="F38" s="137"/>
      <c r="G38" s="138"/>
      <c r="H38" s="139"/>
      <c r="I38" s="137"/>
      <c r="J38" s="138"/>
      <c r="K38" s="139"/>
      <c r="L38" s="137"/>
      <c r="M38" s="138"/>
      <c r="N38" s="139"/>
      <c r="O38" s="137"/>
      <c r="P38" s="138"/>
      <c r="Q38" s="204"/>
      <c r="R38" s="191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100">
        <f t="shared" si="2"/>
        <v>46202</v>
      </c>
      <c r="B39" s="151"/>
      <c r="C39" s="137"/>
      <c r="D39" s="138"/>
      <c r="E39" s="139"/>
      <c r="F39" s="137"/>
      <c r="G39" s="138"/>
      <c r="H39" s="139"/>
      <c r="I39" s="137"/>
      <c r="J39" s="138"/>
      <c r="K39" s="139"/>
      <c r="L39" s="137"/>
      <c r="M39" s="138"/>
      <c r="N39" s="139"/>
      <c r="O39" s="137"/>
      <c r="P39" s="138"/>
      <c r="Q39" s="204"/>
      <c r="R39" s="191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thickBot="1" x14ac:dyDescent="0.3">
      <c r="A40" s="100">
        <f t="shared" si="2"/>
        <v>46203</v>
      </c>
      <c r="B40" s="151"/>
      <c r="C40" s="137"/>
      <c r="D40" s="138"/>
      <c r="E40" s="139"/>
      <c r="F40" s="137"/>
      <c r="G40" s="138"/>
      <c r="H40" s="139"/>
      <c r="I40" s="137"/>
      <c r="J40" s="138"/>
      <c r="K40" s="139"/>
      <c r="L40" s="137"/>
      <c r="M40" s="138"/>
      <c r="N40" s="139"/>
      <c r="O40" s="137"/>
      <c r="P40" s="138"/>
      <c r="Q40" s="204"/>
      <c r="R40" s="191"/>
      <c r="S40" s="6"/>
      <c r="T40" s="6"/>
      <c r="U40" s="38"/>
      <c r="V40" s="38"/>
      <c r="W40" s="6"/>
      <c r="X40" s="6"/>
      <c r="Y40" s="6"/>
      <c r="Z40" s="6"/>
      <c r="AA40" s="6"/>
      <c r="AB40" s="6"/>
      <c r="AC40" s="6"/>
    </row>
    <row r="41" spans="1:29" ht="15.75" customHeight="1" x14ac:dyDescent="0.25">
      <c r="A41" s="111" t="s">
        <v>24</v>
      </c>
      <c r="B41" s="206">
        <f>SUM(B26:B40)</f>
        <v>0</v>
      </c>
      <c r="C41" s="207"/>
      <c r="D41" s="208"/>
      <c r="E41" s="214">
        <f>SUM(E26:E40)</f>
        <v>0</v>
      </c>
      <c r="F41" s="207"/>
      <c r="G41" s="215"/>
      <c r="H41" s="206">
        <f>SUM(H26:H40)</f>
        <v>0</v>
      </c>
      <c r="I41" s="207"/>
      <c r="J41" s="208"/>
      <c r="K41" s="214">
        <f>SUM(K26:K40)</f>
        <v>0</v>
      </c>
      <c r="L41" s="207"/>
      <c r="M41" s="215"/>
      <c r="N41" s="214">
        <f>SUM(N26:N40)</f>
        <v>0</v>
      </c>
      <c r="O41" s="207"/>
      <c r="P41" s="215"/>
      <c r="Q41" s="103" t="s">
        <v>18</v>
      </c>
      <c r="R41" s="112">
        <f t="shared" ref="R41:R43" si="3">SUM(B41:P41)</f>
        <v>0</v>
      </c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</row>
    <row r="42" spans="1:29" ht="15.75" customHeight="1" x14ac:dyDescent="0.25">
      <c r="A42" s="113" t="s">
        <v>25</v>
      </c>
      <c r="B42" s="189">
        <f>SUM(C26:C41)</f>
        <v>0</v>
      </c>
      <c r="C42" s="190"/>
      <c r="D42" s="191"/>
      <c r="E42" s="192">
        <f>SUM(F26:F41)</f>
        <v>0</v>
      </c>
      <c r="F42" s="190"/>
      <c r="G42" s="216"/>
      <c r="H42" s="189">
        <f>SUM(I26:I41)</f>
        <v>0</v>
      </c>
      <c r="I42" s="190"/>
      <c r="J42" s="191"/>
      <c r="K42" s="192">
        <f>SUM(L26:L41)</f>
        <v>0</v>
      </c>
      <c r="L42" s="190"/>
      <c r="M42" s="216"/>
      <c r="N42" s="192">
        <f>SUM(O26:O41)</f>
        <v>0</v>
      </c>
      <c r="O42" s="190"/>
      <c r="P42" s="216"/>
      <c r="Q42" s="106" t="s">
        <v>26</v>
      </c>
      <c r="R42" s="114">
        <f t="shared" si="3"/>
        <v>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thickBot="1" x14ac:dyDescent="0.3">
      <c r="A43" s="115" t="s">
        <v>27</v>
      </c>
      <c r="B43" s="184">
        <f>SUM(D26:D40)</f>
        <v>0</v>
      </c>
      <c r="C43" s="182"/>
      <c r="D43" s="185"/>
      <c r="E43" s="181">
        <f>SUM(G26:G40)</f>
        <v>0</v>
      </c>
      <c r="F43" s="182"/>
      <c r="G43" s="183"/>
      <c r="H43" s="184">
        <f>SUM(J26:J40)</f>
        <v>0</v>
      </c>
      <c r="I43" s="182"/>
      <c r="J43" s="185"/>
      <c r="K43" s="181">
        <f>SUM(M26:M40)</f>
        <v>0</v>
      </c>
      <c r="L43" s="182"/>
      <c r="M43" s="183"/>
      <c r="N43" s="181">
        <f>SUM(P26:P40)</f>
        <v>0</v>
      </c>
      <c r="O43" s="182"/>
      <c r="P43" s="183"/>
      <c r="Q43" s="109" t="s">
        <v>23</v>
      </c>
      <c r="R43" s="116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21" hidden="1" customHeight="1" x14ac:dyDescent="0.25">
      <c r="A44" s="157"/>
      <c r="B44" s="186" t="str">
        <f>IF(ISBLANK(B6),"",B6)</f>
        <v/>
      </c>
      <c r="C44" s="187"/>
      <c r="D44" s="188"/>
      <c r="E44" s="186" t="str">
        <f>IF(ISBLANK(E6),"",E6)</f>
        <v/>
      </c>
      <c r="F44" s="187"/>
      <c r="G44" s="188"/>
      <c r="H44" s="186" t="str">
        <f>IF(ISBLANK(H6),"",H6)</f>
        <v/>
      </c>
      <c r="I44" s="187"/>
      <c r="J44" s="188"/>
      <c r="K44" s="186" t="str">
        <f>IF(ISBLANK(K6),"",K6)</f>
        <v/>
      </c>
      <c r="L44" s="187"/>
      <c r="M44" s="188"/>
      <c r="N44" s="186" t="str">
        <f>IF(ISBLANK(N6),"",N6)</f>
        <v/>
      </c>
      <c r="O44" s="187"/>
      <c r="P44" s="188"/>
      <c r="Q44" s="179"/>
      <c r="R44" s="180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15.75" customHeight="1" x14ac:dyDescent="0.25">
      <c r="A45" s="117" t="s">
        <v>28</v>
      </c>
      <c r="B45" s="206">
        <f>B23+B41</f>
        <v>0</v>
      </c>
      <c r="C45" s="207"/>
      <c r="D45" s="208"/>
      <c r="E45" s="209">
        <f>E23+E41</f>
        <v>0</v>
      </c>
      <c r="F45" s="210"/>
      <c r="G45" s="211"/>
      <c r="H45" s="209">
        <f>H23+H41</f>
        <v>0</v>
      </c>
      <c r="I45" s="210"/>
      <c r="J45" s="211"/>
      <c r="K45" s="209">
        <f>K23+K41</f>
        <v>0</v>
      </c>
      <c r="L45" s="210"/>
      <c r="M45" s="211"/>
      <c r="N45" s="209">
        <f>N23+N41</f>
        <v>0</v>
      </c>
      <c r="O45" s="210"/>
      <c r="P45" s="211"/>
      <c r="Q45" s="103" t="s">
        <v>18</v>
      </c>
      <c r="R45" s="112">
        <f t="shared" ref="R45:R47" si="4">SUM(B45:P45)</f>
        <v>0</v>
      </c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25">
      <c r="A46" s="105" t="s">
        <v>29</v>
      </c>
      <c r="B46" s="192">
        <f>B24+B42</f>
        <v>0</v>
      </c>
      <c r="C46" s="190"/>
      <c r="D46" s="191"/>
      <c r="E46" s="189">
        <f>E24+E42</f>
        <v>0</v>
      </c>
      <c r="F46" s="190"/>
      <c r="G46" s="191"/>
      <c r="H46" s="189">
        <f>H24+H42</f>
        <v>0</v>
      </c>
      <c r="I46" s="190"/>
      <c r="J46" s="191"/>
      <c r="K46" s="189">
        <f>K24+K42</f>
        <v>0</v>
      </c>
      <c r="L46" s="190"/>
      <c r="M46" s="191"/>
      <c r="N46" s="189">
        <f>N24+N42</f>
        <v>0</v>
      </c>
      <c r="O46" s="190"/>
      <c r="P46" s="191"/>
      <c r="Q46" s="106" t="s">
        <v>26</v>
      </c>
      <c r="R46" s="114">
        <f t="shared" si="4"/>
        <v>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thickBot="1" x14ac:dyDescent="0.3">
      <c r="A47" s="118" t="s">
        <v>30</v>
      </c>
      <c r="B47" s="181">
        <f>B25+B43</f>
        <v>0</v>
      </c>
      <c r="C47" s="182"/>
      <c r="D47" s="185"/>
      <c r="E47" s="184">
        <f>E25+E43</f>
        <v>0</v>
      </c>
      <c r="F47" s="182"/>
      <c r="G47" s="185"/>
      <c r="H47" s="184">
        <f>H25+H43</f>
        <v>0</v>
      </c>
      <c r="I47" s="182"/>
      <c r="J47" s="185"/>
      <c r="K47" s="184">
        <f>K25+K43</f>
        <v>0</v>
      </c>
      <c r="L47" s="182"/>
      <c r="M47" s="185"/>
      <c r="N47" s="184">
        <f>N25+N43</f>
        <v>0</v>
      </c>
      <c r="O47" s="182"/>
      <c r="P47" s="185"/>
      <c r="Q47" s="109" t="s">
        <v>23</v>
      </c>
      <c r="R47" s="116">
        <f t="shared" si="4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7.5" hidden="1" customHeight="1" x14ac:dyDescent="0.25">
      <c r="A48" s="119"/>
      <c r="B48" s="186" t="str">
        <f>IF(ISBLANK(B10),"",B10)</f>
        <v/>
      </c>
      <c r="C48" s="187"/>
      <c r="D48" s="188"/>
      <c r="E48" s="186" t="str">
        <f>IF(ISBLANK(E10),"",E10)</f>
        <v/>
      </c>
      <c r="F48" s="187"/>
      <c r="G48" s="188"/>
      <c r="H48" s="186" t="str">
        <f>IF(ISBLANK(H10),"",H10)</f>
        <v/>
      </c>
      <c r="I48" s="187"/>
      <c r="J48" s="188"/>
      <c r="K48" s="186" t="str">
        <f>IF(ISBLANK(K10),"",K10)</f>
        <v/>
      </c>
      <c r="L48" s="187"/>
      <c r="M48" s="188"/>
      <c r="N48" s="186" t="str">
        <f>IF(ISBLANK(N10),"",N10)</f>
        <v/>
      </c>
      <c r="O48" s="187"/>
      <c r="P48" s="188"/>
      <c r="Q48" s="179"/>
      <c r="R48" s="180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15.75" customHeight="1" thickBot="1" x14ac:dyDescent="0.3">
      <c r="A49" s="158" t="s">
        <v>31</v>
      </c>
      <c r="B49" s="203">
        <f>SUM(B45:D47)</f>
        <v>0</v>
      </c>
      <c r="C49" s="187"/>
      <c r="D49" s="188"/>
      <c r="E49" s="198">
        <f>SUM(E45:G47)</f>
        <v>0</v>
      </c>
      <c r="F49" s="196"/>
      <c r="G49" s="197"/>
      <c r="H49" s="198">
        <f>SUM(H45:J47)</f>
        <v>0</v>
      </c>
      <c r="I49" s="196"/>
      <c r="J49" s="197"/>
      <c r="K49" s="198">
        <f>SUM(K45:M47)</f>
        <v>0</v>
      </c>
      <c r="L49" s="196"/>
      <c r="M49" s="197"/>
      <c r="N49" s="198">
        <f>SUM(N45:P47)</f>
        <v>0</v>
      </c>
      <c r="O49" s="196"/>
      <c r="P49" s="197"/>
      <c r="Q49" s="198">
        <f t="shared" ref="Q49:Q50" si="5">SUM(B49:P49)</f>
        <v>0</v>
      </c>
      <c r="R49" s="197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thickBot="1" x14ac:dyDescent="0.3">
      <c r="A50" s="120" t="s">
        <v>32</v>
      </c>
      <c r="B50" s="195">
        <f>(B45+B47)/((NETWORKDAYS($P$1,EOMONTH($P$1,0), HO))*8)</f>
        <v>0</v>
      </c>
      <c r="C50" s="196"/>
      <c r="D50" s="197"/>
      <c r="E50" s="195">
        <f>(E45+E47)/((NETWORKDAYS($P$1,EOMONTH($P$1,0), HO))*8)</f>
        <v>0</v>
      </c>
      <c r="F50" s="196"/>
      <c r="G50" s="197"/>
      <c r="H50" s="195">
        <f>(H45+H47)/((NETWORKDAYS($P$1,EOMONTH($P$1,0), HO))*8)</f>
        <v>0</v>
      </c>
      <c r="I50" s="196"/>
      <c r="J50" s="197"/>
      <c r="K50" s="195">
        <f>(K45+K47)/((NETWORKDAYS($P$1,EOMONTH($P$1,0), HO))*8)</f>
        <v>0</v>
      </c>
      <c r="L50" s="196"/>
      <c r="M50" s="197"/>
      <c r="N50" s="195">
        <f>(N45+N47)/((NETWORKDAYS($P$1,EOMONTH($P$1,0), HO))*8)</f>
        <v>0</v>
      </c>
      <c r="O50" s="196"/>
      <c r="P50" s="197"/>
      <c r="Q50" s="195">
        <f t="shared" si="5"/>
        <v>0</v>
      </c>
      <c r="R50" s="197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thickBot="1" x14ac:dyDescent="0.3">
      <c r="A51" s="120" t="s">
        <v>33</v>
      </c>
      <c r="B51" s="198">
        <f>R45+R47</f>
        <v>0</v>
      </c>
      <c r="C51" s="196"/>
      <c r="D51" s="197"/>
      <c r="E51" s="195" t="s">
        <v>21</v>
      </c>
      <c r="F51" s="196"/>
      <c r="G51" s="197"/>
      <c r="H51" s="198">
        <f>R46</f>
        <v>0</v>
      </c>
      <c r="I51" s="196"/>
      <c r="J51" s="197"/>
      <c r="K51" s="198">
        <f>R46</f>
        <v>0</v>
      </c>
      <c r="L51" s="196"/>
      <c r="M51" s="197"/>
      <c r="N51" s="195" t="s">
        <v>34</v>
      </c>
      <c r="O51" s="196"/>
      <c r="P51" s="197"/>
      <c r="Q51" s="198">
        <f>B51+H51</f>
        <v>0</v>
      </c>
      <c r="R51" s="197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24.75" customHeight="1" x14ac:dyDescent="0.25">
      <c r="A52" s="199" t="s">
        <v>35</v>
      </c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31.5" customHeight="1" thickBot="1" x14ac:dyDescent="0.3">
      <c r="A53" s="201" t="s">
        <v>36</v>
      </c>
      <c r="B53" s="201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202" t="s">
        <v>37</v>
      </c>
      <c r="P53" s="202"/>
      <c r="Q53" s="152"/>
      <c r="R53" s="152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15.75" customHeight="1" x14ac:dyDescent="0.25">
      <c r="A54" s="121"/>
      <c r="B54" s="90"/>
      <c r="C54" s="90"/>
      <c r="D54" s="91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193" t="s">
        <v>38</v>
      </c>
      <c r="B55" s="194"/>
      <c r="C55" s="125"/>
      <c r="D55" s="126"/>
      <c r="E55" s="38"/>
      <c r="F55" s="127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23.25" customHeight="1" x14ac:dyDescent="0.25">
      <c r="A56" s="193" t="s">
        <v>39</v>
      </c>
      <c r="B56" s="194"/>
      <c r="C56" s="123"/>
      <c r="D56" s="124"/>
      <c r="E56" s="123"/>
      <c r="F56" s="12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5.75" customHeight="1" x14ac:dyDescent="0.25">
      <c r="A57" s="122"/>
      <c r="B57" s="38"/>
      <c r="C57" s="38"/>
      <c r="D57" s="52"/>
      <c r="E57" s="38"/>
      <c r="F57" s="127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51"/>
      <c r="B58" s="38"/>
      <c r="C58" s="38"/>
      <c r="D58" s="52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33">
    <mergeCell ref="A52:R52"/>
    <mergeCell ref="A53:B53"/>
    <mergeCell ref="O53:P53"/>
    <mergeCell ref="A55:B55"/>
    <mergeCell ref="A56:B56"/>
    <mergeCell ref="B51:D51"/>
    <mergeCell ref="E51:G51"/>
    <mergeCell ref="H51:J51"/>
    <mergeCell ref="K51:M51"/>
    <mergeCell ref="N51:P51"/>
    <mergeCell ref="Q51:R51"/>
    <mergeCell ref="B50:D50"/>
    <mergeCell ref="E50:G50"/>
    <mergeCell ref="H50:J50"/>
    <mergeCell ref="K50:M50"/>
    <mergeCell ref="N50:P50"/>
    <mergeCell ref="Q50:R50"/>
    <mergeCell ref="Q48:R48"/>
    <mergeCell ref="B49:D49"/>
    <mergeCell ref="E49:G49"/>
    <mergeCell ref="H49:J49"/>
    <mergeCell ref="K49:M49"/>
    <mergeCell ref="N49:P49"/>
    <mergeCell ref="Q49:R49"/>
    <mergeCell ref="B47:D47"/>
    <mergeCell ref="E47:G47"/>
    <mergeCell ref="H47:J47"/>
    <mergeCell ref="K47:M47"/>
    <mergeCell ref="N47:P47"/>
    <mergeCell ref="B48:D48"/>
    <mergeCell ref="E48:G48"/>
    <mergeCell ref="H48:J48"/>
    <mergeCell ref="K48:M48"/>
    <mergeCell ref="N48:P48"/>
    <mergeCell ref="B45:D45"/>
    <mergeCell ref="E45:G45"/>
    <mergeCell ref="H45:J45"/>
    <mergeCell ref="K45:M45"/>
    <mergeCell ref="N45:P45"/>
    <mergeCell ref="B46:D46"/>
    <mergeCell ref="E46:G46"/>
    <mergeCell ref="H46:J46"/>
    <mergeCell ref="K46:M46"/>
    <mergeCell ref="N46:P46"/>
    <mergeCell ref="B44:D44"/>
    <mergeCell ref="E44:G44"/>
    <mergeCell ref="H44:J44"/>
    <mergeCell ref="K44:M44"/>
    <mergeCell ref="N44:P44"/>
    <mergeCell ref="Q44:R44"/>
    <mergeCell ref="B42:D42"/>
    <mergeCell ref="E42:G42"/>
    <mergeCell ref="H42:J42"/>
    <mergeCell ref="K42:M42"/>
    <mergeCell ref="N42:P42"/>
    <mergeCell ref="B43:D43"/>
    <mergeCell ref="E43:G43"/>
    <mergeCell ref="H43:J43"/>
    <mergeCell ref="K43:M43"/>
    <mergeCell ref="N43:P43"/>
    <mergeCell ref="Q38:R38"/>
    <mergeCell ref="Q39:R39"/>
    <mergeCell ref="Q40:R40"/>
    <mergeCell ref="B41:D41"/>
    <mergeCell ref="E41:G41"/>
    <mergeCell ref="H41:J41"/>
    <mergeCell ref="K41:M41"/>
    <mergeCell ref="N41:P41"/>
    <mergeCell ref="Q32:R32"/>
    <mergeCell ref="Q33:R33"/>
    <mergeCell ref="Q34:R34"/>
    <mergeCell ref="Q35:R35"/>
    <mergeCell ref="Q36:R36"/>
    <mergeCell ref="Q37:R37"/>
    <mergeCell ref="Q27:R27"/>
    <mergeCell ref="Q26:R26"/>
    <mergeCell ref="Q29:R29"/>
    <mergeCell ref="Q30:R30"/>
    <mergeCell ref="Q31:R31"/>
    <mergeCell ref="B24:D24"/>
    <mergeCell ref="E24:G24"/>
    <mergeCell ref="H24:J24"/>
    <mergeCell ref="K24:M24"/>
    <mergeCell ref="N24:P24"/>
    <mergeCell ref="B25:D25"/>
    <mergeCell ref="E25:G25"/>
    <mergeCell ref="H25:J25"/>
    <mergeCell ref="K25:M25"/>
    <mergeCell ref="N25:P25"/>
    <mergeCell ref="Q28:R28"/>
    <mergeCell ref="Q20:R20"/>
    <mergeCell ref="Q21:R21"/>
    <mergeCell ref="Q22:R22"/>
    <mergeCell ref="B23:D23"/>
    <mergeCell ref="E23:G23"/>
    <mergeCell ref="H23:J23"/>
    <mergeCell ref="K23:M23"/>
    <mergeCell ref="N23:P23"/>
    <mergeCell ref="Q14:R14"/>
    <mergeCell ref="Q15:R15"/>
    <mergeCell ref="Q16:R16"/>
    <mergeCell ref="Q17:R17"/>
    <mergeCell ref="Q18:R18"/>
    <mergeCell ref="Q19:R19"/>
    <mergeCell ref="Q8:R8"/>
    <mergeCell ref="Q9:R9"/>
    <mergeCell ref="Q10:R10"/>
    <mergeCell ref="Q11:R11"/>
    <mergeCell ref="Q12:R12"/>
    <mergeCell ref="Q13:R13"/>
    <mergeCell ref="N5:P5"/>
    <mergeCell ref="B6:D6"/>
    <mergeCell ref="E6:G6"/>
    <mergeCell ref="H6:J6"/>
    <mergeCell ref="K6:M6"/>
    <mergeCell ref="N6:P6"/>
    <mergeCell ref="A1:B1"/>
    <mergeCell ref="C1:O1"/>
    <mergeCell ref="P1:R1"/>
    <mergeCell ref="A2:B2"/>
    <mergeCell ref="C2:R2"/>
    <mergeCell ref="A3:B3"/>
    <mergeCell ref="C3:R3"/>
    <mergeCell ref="B4:D4"/>
    <mergeCell ref="E4:G4"/>
    <mergeCell ref="H4:J4"/>
    <mergeCell ref="K4:M4"/>
    <mergeCell ref="N4:P4"/>
    <mergeCell ref="Q4:R7"/>
    <mergeCell ref="B5:D5"/>
    <mergeCell ref="E5:G5"/>
    <mergeCell ref="H5:J5"/>
    <mergeCell ref="K5:M5"/>
  </mergeCells>
  <conditionalFormatting sqref="B23 K41:N41">
    <cfRule type="cellIs" dxfId="981" priority="7" operator="greaterThan">
      <formula>0</formula>
    </cfRule>
  </conditionalFormatting>
  <conditionalFormatting sqref="B24 K42:N42">
    <cfRule type="cellIs" dxfId="980" priority="4" operator="greaterThan">
      <formula>1</formula>
    </cfRule>
  </conditionalFormatting>
  <conditionalFormatting sqref="B24:B25 K43:N43">
    <cfRule type="cellIs" dxfId="979" priority="6" operator="greaterThan">
      <formula>0</formula>
    </cfRule>
  </conditionalFormatting>
  <conditionalFormatting sqref="B41">
    <cfRule type="cellIs" dxfId="978" priority="20" operator="greaterThan">
      <formula>0</formula>
    </cfRule>
  </conditionalFormatting>
  <conditionalFormatting sqref="B42">
    <cfRule type="cellIs" dxfId="977" priority="77" operator="greaterThan">
      <formula>1</formula>
    </cfRule>
    <cfRule type="cellIs" dxfId="976" priority="17" operator="greaterThan">
      <formula>1</formula>
    </cfRule>
  </conditionalFormatting>
  <conditionalFormatting sqref="B42:B43">
    <cfRule type="cellIs" dxfId="975" priority="19" operator="greaterThan">
      <formula>0</formula>
    </cfRule>
    <cfRule type="cellIs" dxfId="974" priority="79" operator="greaterThan">
      <formula>0</formula>
    </cfRule>
  </conditionalFormatting>
  <conditionalFormatting sqref="B45">
    <cfRule type="cellIs" dxfId="973" priority="14" operator="greaterThan">
      <formula>0</formula>
    </cfRule>
  </conditionalFormatting>
  <conditionalFormatting sqref="B46">
    <cfRule type="cellIs" dxfId="972" priority="11" operator="greaterThan">
      <formula>1</formula>
    </cfRule>
  </conditionalFormatting>
  <conditionalFormatting sqref="B46:B47">
    <cfRule type="cellIs" dxfId="971" priority="13" operator="greaterThan">
      <formula>0</formula>
    </cfRule>
  </conditionalFormatting>
  <conditionalFormatting sqref="B25:D25">
    <cfRule type="cellIs" dxfId="970" priority="52" operator="greaterThan">
      <formula>0</formula>
    </cfRule>
  </conditionalFormatting>
  <conditionalFormatting sqref="B43:D43">
    <cfRule type="cellIs" dxfId="969" priority="82" operator="greaterThan">
      <formula>0</formula>
    </cfRule>
  </conditionalFormatting>
  <conditionalFormatting sqref="B47:M47">
    <cfRule type="cellIs" dxfId="968" priority="119" operator="greaterThan">
      <formula>0</formula>
    </cfRule>
  </conditionalFormatting>
  <conditionalFormatting sqref="B49:M49">
    <cfRule type="cellIs" dxfId="967" priority="16" operator="greaterThan">
      <formula>0</formula>
    </cfRule>
  </conditionalFormatting>
  <conditionalFormatting sqref="B4:P5">
    <cfRule type="containsBlanks" dxfId="966" priority="1">
      <formula>LEN(TRIM(B4))=0</formula>
    </cfRule>
  </conditionalFormatting>
  <conditionalFormatting sqref="B47:P47 R47">
    <cfRule type="cellIs" dxfId="965" priority="10" operator="greaterThan">
      <formula>0</formula>
    </cfRule>
  </conditionalFormatting>
  <conditionalFormatting sqref="C2:R3">
    <cfRule type="containsBlanks" dxfId="964" priority="2">
      <formula>LEN(TRIM(C2))=0</formula>
    </cfRule>
  </conditionalFormatting>
  <conditionalFormatting sqref="E24">
    <cfRule type="cellIs" dxfId="963" priority="53" operator="greaterThan">
      <formula>1</formula>
    </cfRule>
  </conditionalFormatting>
  <conditionalFormatting sqref="E24:E25">
    <cfRule type="cellIs" dxfId="962" priority="55" operator="greaterThan">
      <formula>0</formula>
    </cfRule>
  </conditionalFormatting>
  <conditionalFormatting sqref="E41">
    <cfRule type="cellIs" dxfId="961" priority="25" operator="greaterThan">
      <formula>0</formula>
    </cfRule>
  </conditionalFormatting>
  <conditionalFormatting sqref="E42">
    <cfRule type="cellIs" dxfId="960" priority="22" operator="greaterThan">
      <formula>1</formula>
    </cfRule>
    <cfRule type="cellIs" dxfId="959" priority="83" operator="greaterThan">
      <formula>1</formula>
    </cfRule>
    <cfRule type="cellIs" dxfId="958" priority="88" operator="greaterThan">
      <formula>1</formula>
    </cfRule>
  </conditionalFormatting>
  <conditionalFormatting sqref="E42:E43">
    <cfRule type="cellIs" dxfId="957" priority="24" operator="greaterThan">
      <formula>0</formula>
    </cfRule>
    <cfRule type="cellIs" dxfId="956" priority="85" operator="greaterThan">
      <formula>0</formula>
    </cfRule>
    <cfRule type="cellIs" dxfId="955" priority="90" operator="greaterThan">
      <formula>0</formula>
    </cfRule>
  </conditionalFormatting>
  <conditionalFormatting sqref="E45">
    <cfRule type="cellIs" dxfId="954" priority="40" operator="greaterThan">
      <formula>0</formula>
    </cfRule>
  </conditionalFormatting>
  <conditionalFormatting sqref="E46">
    <cfRule type="cellIs" dxfId="953" priority="37" operator="greaterThan">
      <formula>1</formula>
    </cfRule>
  </conditionalFormatting>
  <conditionalFormatting sqref="E46:E47">
    <cfRule type="cellIs" dxfId="952" priority="39" operator="greaterThan">
      <formula>0</formula>
    </cfRule>
  </conditionalFormatting>
  <conditionalFormatting sqref="E25:G25">
    <cfRule type="cellIs" dxfId="951" priority="58" operator="greaterThan">
      <formula>0</formula>
    </cfRule>
  </conditionalFormatting>
  <conditionalFormatting sqref="E43:G43">
    <cfRule type="cellIs" dxfId="950" priority="93" operator="greaterThan">
      <formula>0</formula>
    </cfRule>
  </conditionalFormatting>
  <conditionalFormatting sqref="E23:H23">
    <cfRule type="cellIs" dxfId="949" priority="56" operator="greaterThan">
      <formula>0</formula>
    </cfRule>
  </conditionalFormatting>
  <conditionalFormatting sqref="E24:M24">
    <cfRule type="cellIs" dxfId="948" priority="72" operator="greaterThan">
      <formula>0</formula>
    </cfRule>
  </conditionalFormatting>
  <conditionalFormatting sqref="E42:M42">
    <cfRule type="cellIs" dxfId="947" priority="116" operator="greaterThan">
      <formula>0</formula>
    </cfRule>
  </conditionalFormatting>
  <conditionalFormatting sqref="H24">
    <cfRule type="cellIs" dxfId="946" priority="59" operator="greaterThan">
      <formula>1</formula>
    </cfRule>
  </conditionalFormatting>
  <conditionalFormatting sqref="H24:H25">
    <cfRule type="cellIs" dxfId="945" priority="61" operator="greaterThan">
      <formula>0</formula>
    </cfRule>
  </conditionalFormatting>
  <conditionalFormatting sqref="H41">
    <cfRule type="cellIs" dxfId="944" priority="30" operator="greaterThan">
      <formula>0</formula>
    </cfRule>
  </conditionalFormatting>
  <conditionalFormatting sqref="H42">
    <cfRule type="cellIs" dxfId="943" priority="27" operator="greaterThan">
      <formula>1</formula>
    </cfRule>
    <cfRule type="cellIs" dxfId="942" priority="99" operator="greaterThan">
      <formula>1</formula>
    </cfRule>
    <cfRule type="cellIs" dxfId="941" priority="94" operator="greaterThan">
      <formula>1</formula>
    </cfRule>
  </conditionalFormatting>
  <conditionalFormatting sqref="H42:H43">
    <cfRule type="cellIs" dxfId="940" priority="29" operator="greaterThan">
      <formula>0</formula>
    </cfRule>
    <cfRule type="cellIs" dxfId="939" priority="96" operator="greaterThan">
      <formula>0</formula>
    </cfRule>
    <cfRule type="cellIs" dxfId="938" priority="101" operator="greaterThan">
      <formula>0</formula>
    </cfRule>
  </conditionalFormatting>
  <conditionalFormatting sqref="H45">
    <cfRule type="cellIs" dxfId="937" priority="45" operator="greaterThan">
      <formula>0</formula>
    </cfRule>
  </conditionalFormatting>
  <conditionalFormatting sqref="H46">
    <cfRule type="cellIs" dxfId="936" priority="42" operator="greaterThan">
      <formula>1</formula>
    </cfRule>
  </conditionalFormatting>
  <conditionalFormatting sqref="H46:H47">
    <cfRule type="cellIs" dxfId="935" priority="44" operator="greaterThan">
      <formula>0</formula>
    </cfRule>
  </conditionalFormatting>
  <conditionalFormatting sqref="H25:J25">
    <cfRule type="cellIs" dxfId="934" priority="64" operator="greaterThan">
      <formula>0</formula>
    </cfRule>
  </conditionalFormatting>
  <conditionalFormatting sqref="H43:J43">
    <cfRule type="cellIs" dxfId="933" priority="104" operator="greaterThan">
      <formula>0</formula>
    </cfRule>
  </conditionalFormatting>
  <conditionalFormatting sqref="K24">
    <cfRule type="cellIs" dxfId="932" priority="66" operator="greaterThan">
      <formula>1</formula>
    </cfRule>
  </conditionalFormatting>
  <conditionalFormatting sqref="K24:K25">
    <cfRule type="cellIs" dxfId="931" priority="68" operator="greaterThan">
      <formula>0</formula>
    </cfRule>
  </conditionalFormatting>
  <conditionalFormatting sqref="K42">
    <cfRule type="cellIs" dxfId="930" priority="105" operator="greaterThan">
      <formula>1</formula>
    </cfRule>
    <cfRule type="cellIs" dxfId="929" priority="110" operator="greaterThan">
      <formula>1</formula>
    </cfRule>
  </conditionalFormatting>
  <conditionalFormatting sqref="K42:K43">
    <cfRule type="cellIs" dxfId="928" priority="34" operator="greaterThan">
      <formula>0</formula>
    </cfRule>
    <cfRule type="cellIs" dxfId="927" priority="107" operator="greaterThan">
      <formula>0</formula>
    </cfRule>
    <cfRule type="cellIs" dxfId="926" priority="112" operator="greaterThan">
      <formula>0</formula>
    </cfRule>
  </conditionalFormatting>
  <conditionalFormatting sqref="K45">
    <cfRule type="cellIs" dxfId="925" priority="50" operator="greaterThan">
      <formula>0</formula>
    </cfRule>
  </conditionalFormatting>
  <conditionalFormatting sqref="K46">
    <cfRule type="cellIs" dxfId="924" priority="47" operator="greaterThan">
      <formula>1</formula>
    </cfRule>
  </conditionalFormatting>
  <conditionalFormatting sqref="K46:K47">
    <cfRule type="cellIs" dxfId="923" priority="49" operator="greaterThan">
      <formula>0</formula>
    </cfRule>
  </conditionalFormatting>
  <conditionalFormatting sqref="K23:M23">
    <cfRule type="cellIs" dxfId="922" priority="69" operator="greaterThan">
      <formula>0</formula>
    </cfRule>
  </conditionalFormatting>
  <conditionalFormatting sqref="K25:M25">
    <cfRule type="cellIs" dxfId="921" priority="71" operator="greaterThan">
      <formula>0</formula>
    </cfRule>
  </conditionalFormatting>
  <conditionalFormatting sqref="K43:M43">
    <cfRule type="cellIs" dxfId="920" priority="115" operator="greaterThan">
      <formula>0</formula>
    </cfRule>
  </conditionalFormatting>
  <conditionalFormatting sqref="K46:M46">
    <cfRule type="cellIs" dxfId="919" priority="120" operator="greaterThan">
      <formula>0</formula>
    </cfRule>
  </conditionalFormatting>
  <conditionalFormatting sqref="K46:P46">
    <cfRule type="cellIs" dxfId="918" priority="9" operator="greaterThan">
      <formula>0</formula>
    </cfRule>
  </conditionalFormatting>
  <pageMargins left="0.25" right="0.25" top="0.75" bottom="0.75" header="0.3" footer="0.3"/>
  <pageSetup scale="7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1E1A-FE4A-4BC8-B29A-48B699FBD20F}">
  <sheetPr>
    <outlinePr summaryBelow="0" summaryRight="0"/>
    <pageSetUpPr fitToPage="1"/>
  </sheetPr>
  <dimension ref="A1:AC999"/>
  <sheetViews>
    <sheetView zoomScale="78" zoomScaleNormal="100" workbookViewId="0">
      <selection activeCell="A9" sqref="A9"/>
    </sheetView>
  </sheetViews>
  <sheetFormatPr defaultColWidth="14.44140625" defaultRowHeight="15" customHeight="1" x14ac:dyDescent="0.25"/>
  <cols>
    <col min="1" max="1" width="24" customWidth="1"/>
    <col min="2" max="16" width="5.33203125" customWidth="1"/>
    <col min="17" max="17" width="17.5546875" bestFit="1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41.25" customHeight="1" thickBot="1" x14ac:dyDescent="0.35">
      <c r="A1" s="228" t="s">
        <v>0</v>
      </c>
      <c r="B1" s="229"/>
      <c r="C1" s="230" t="s">
        <v>1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2">
        <v>46204</v>
      </c>
      <c r="Q1" s="231"/>
      <c r="R1" s="231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233" t="s">
        <v>2</v>
      </c>
      <c r="B2" s="215"/>
      <c r="C2" s="225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7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8" thickBot="1" x14ac:dyDescent="0.35">
      <c r="A3" s="247" t="s">
        <v>3</v>
      </c>
      <c r="B3" s="183"/>
      <c r="C3" s="258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60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54" customHeight="1" x14ac:dyDescent="0.25">
      <c r="A4" s="92" t="s">
        <v>4</v>
      </c>
      <c r="B4" s="240"/>
      <c r="C4" s="241"/>
      <c r="D4" s="242"/>
      <c r="E4" s="240"/>
      <c r="F4" s="241"/>
      <c r="G4" s="242"/>
      <c r="H4" s="240"/>
      <c r="I4" s="241"/>
      <c r="J4" s="242"/>
      <c r="K4" s="240"/>
      <c r="L4" s="241"/>
      <c r="M4" s="242"/>
      <c r="N4" s="240"/>
      <c r="O4" s="241"/>
      <c r="P4" s="242"/>
      <c r="Q4" s="243" t="s">
        <v>5</v>
      </c>
      <c r="R4" s="244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93" t="s">
        <v>6</v>
      </c>
      <c r="B5" s="237"/>
      <c r="C5" s="238"/>
      <c r="D5" s="239"/>
      <c r="E5" s="237"/>
      <c r="F5" s="238"/>
      <c r="G5" s="239"/>
      <c r="H5" s="237"/>
      <c r="I5" s="238"/>
      <c r="J5" s="239"/>
      <c r="K5" s="237"/>
      <c r="L5" s="238"/>
      <c r="M5" s="239"/>
      <c r="N5" s="237"/>
      <c r="O5" s="238"/>
      <c r="P5" s="239"/>
      <c r="Q5" s="245"/>
      <c r="R5" s="180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thickBot="1" x14ac:dyDescent="0.3">
      <c r="A6" s="94" t="s">
        <v>7</v>
      </c>
      <c r="B6" s="237"/>
      <c r="C6" s="238"/>
      <c r="D6" s="239"/>
      <c r="E6" s="237"/>
      <c r="F6" s="238"/>
      <c r="G6" s="239"/>
      <c r="H6" s="237"/>
      <c r="I6" s="238"/>
      <c r="J6" s="239"/>
      <c r="K6" s="237"/>
      <c r="L6" s="238"/>
      <c r="M6" s="239"/>
      <c r="N6" s="237"/>
      <c r="O6" s="238"/>
      <c r="P6" s="239"/>
      <c r="Q6" s="245"/>
      <c r="R6" s="180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thickBot="1" x14ac:dyDescent="0.3">
      <c r="A7" s="153"/>
      <c r="B7" s="95" t="s">
        <v>8</v>
      </c>
      <c r="C7" s="96" t="s">
        <v>9</v>
      </c>
      <c r="D7" s="97" t="s">
        <v>10</v>
      </c>
      <c r="E7" s="95" t="s">
        <v>8</v>
      </c>
      <c r="F7" s="96" t="s">
        <v>9</v>
      </c>
      <c r="G7" s="97" t="s">
        <v>10</v>
      </c>
      <c r="H7" s="95" t="s">
        <v>8</v>
      </c>
      <c r="I7" s="96" t="s">
        <v>9</v>
      </c>
      <c r="J7" s="97" t="s">
        <v>10</v>
      </c>
      <c r="K7" s="95" t="s">
        <v>8</v>
      </c>
      <c r="L7" s="96" t="s">
        <v>9</v>
      </c>
      <c r="M7" s="97" t="s">
        <v>10</v>
      </c>
      <c r="N7" s="95" t="s">
        <v>8</v>
      </c>
      <c r="O7" s="96" t="s">
        <v>9</v>
      </c>
      <c r="P7" s="97" t="s">
        <v>10</v>
      </c>
      <c r="Q7" s="246"/>
      <c r="R7" s="188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8" x14ac:dyDescent="0.25">
      <c r="A8" s="98">
        <v>46204</v>
      </c>
      <c r="B8" s="140"/>
      <c r="C8" s="141"/>
      <c r="D8" s="142"/>
      <c r="E8" s="143"/>
      <c r="F8" s="141"/>
      <c r="G8" s="142"/>
      <c r="H8" s="143"/>
      <c r="I8" s="141"/>
      <c r="J8" s="142"/>
      <c r="K8" s="143"/>
      <c r="L8" s="141"/>
      <c r="M8" s="142"/>
      <c r="N8" s="143"/>
      <c r="O8" s="141"/>
      <c r="P8" s="142"/>
      <c r="Q8" s="248"/>
      <c r="R8" s="20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8" x14ac:dyDescent="0.25">
      <c r="A9" s="99">
        <f t="shared" ref="A9:A22" si="0">A8+1</f>
        <v>46205</v>
      </c>
      <c r="B9" s="133"/>
      <c r="C9" s="134"/>
      <c r="D9" s="135"/>
      <c r="E9" s="136"/>
      <c r="F9" s="134"/>
      <c r="G9" s="135"/>
      <c r="H9" s="136"/>
      <c r="I9" s="134"/>
      <c r="J9" s="135"/>
      <c r="K9" s="136"/>
      <c r="L9" s="134"/>
      <c r="M9" s="135"/>
      <c r="N9" s="136"/>
      <c r="O9" s="134"/>
      <c r="P9" s="135"/>
      <c r="Q9" s="224"/>
      <c r="R9" s="191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3.8" x14ac:dyDescent="0.25">
      <c r="A10" s="100">
        <f t="shared" si="0"/>
        <v>46206</v>
      </c>
      <c r="B10" s="140"/>
      <c r="C10" s="137"/>
      <c r="D10" s="138"/>
      <c r="E10" s="139"/>
      <c r="F10" s="137"/>
      <c r="G10" s="138"/>
      <c r="H10" s="139"/>
      <c r="I10" s="137"/>
      <c r="J10" s="138"/>
      <c r="K10" s="139"/>
      <c r="L10" s="137"/>
      <c r="M10" s="138"/>
      <c r="N10" s="139"/>
      <c r="O10" s="137"/>
      <c r="P10" s="138"/>
      <c r="Q10" s="204"/>
      <c r="R10" s="191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8" x14ac:dyDescent="0.25">
      <c r="A11" s="149">
        <f t="shared" si="0"/>
        <v>46207</v>
      </c>
      <c r="B11" s="163"/>
      <c r="C11" s="144"/>
      <c r="D11" s="145"/>
      <c r="E11" s="146"/>
      <c r="F11" s="144"/>
      <c r="G11" s="145"/>
      <c r="H11" s="146"/>
      <c r="I11" s="144"/>
      <c r="J11" s="145"/>
      <c r="K11" s="146"/>
      <c r="L11" s="144"/>
      <c r="M11" s="145"/>
      <c r="N11" s="146"/>
      <c r="O11" s="144"/>
      <c r="P11" s="145"/>
      <c r="Q11" s="256" t="s">
        <v>13</v>
      </c>
      <c r="R11" s="257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8" x14ac:dyDescent="0.25">
      <c r="A12" s="100">
        <f t="shared" si="0"/>
        <v>46208</v>
      </c>
      <c r="B12" s="140"/>
      <c r="C12" s="137"/>
      <c r="D12" s="138"/>
      <c r="E12" s="139"/>
      <c r="F12" s="137"/>
      <c r="G12" s="138"/>
      <c r="H12" s="139"/>
      <c r="I12" s="137"/>
      <c r="J12" s="138"/>
      <c r="K12" s="139"/>
      <c r="L12" s="137"/>
      <c r="M12" s="138"/>
      <c r="N12" s="139"/>
      <c r="O12" s="137"/>
      <c r="P12" s="138"/>
      <c r="Q12" s="204"/>
      <c r="R12" s="191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8" x14ac:dyDescent="0.25">
      <c r="A13" s="100">
        <f t="shared" si="0"/>
        <v>46209</v>
      </c>
      <c r="B13" s="140"/>
      <c r="C13" s="137"/>
      <c r="D13" s="138"/>
      <c r="E13" s="139"/>
      <c r="F13" s="137"/>
      <c r="G13" s="138"/>
      <c r="H13" s="139"/>
      <c r="I13" s="137"/>
      <c r="J13" s="138"/>
      <c r="K13" s="139"/>
      <c r="L13" s="137"/>
      <c r="M13" s="138"/>
      <c r="N13" s="139"/>
      <c r="O13" s="137"/>
      <c r="P13" s="138"/>
      <c r="Q13" s="204"/>
      <c r="R13" s="191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8" x14ac:dyDescent="0.25">
      <c r="A14" s="100">
        <f t="shared" si="0"/>
        <v>46210</v>
      </c>
      <c r="B14" s="140"/>
      <c r="C14" s="137"/>
      <c r="D14" s="138"/>
      <c r="E14" s="139"/>
      <c r="F14" s="137"/>
      <c r="G14" s="138"/>
      <c r="H14" s="139"/>
      <c r="I14" s="137"/>
      <c r="J14" s="138"/>
      <c r="K14" s="139"/>
      <c r="L14" s="137"/>
      <c r="M14" s="138"/>
      <c r="N14" s="139"/>
      <c r="O14" s="137"/>
      <c r="P14" s="138"/>
      <c r="Q14" s="204"/>
      <c r="R14" s="191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8" x14ac:dyDescent="0.25">
      <c r="A15" s="100">
        <f t="shared" si="0"/>
        <v>46211</v>
      </c>
      <c r="B15" s="140"/>
      <c r="C15" s="137"/>
      <c r="D15" s="138"/>
      <c r="E15" s="139"/>
      <c r="F15" s="137"/>
      <c r="G15" s="138"/>
      <c r="H15" s="139"/>
      <c r="I15" s="137"/>
      <c r="J15" s="138"/>
      <c r="K15" s="139"/>
      <c r="L15" s="137"/>
      <c r="M15" s="138"/>
      <c r="N15" s="139"/>
      <c r="O15" s="137"/>
      <c r="P15" s="138"/>
      <c r="Q15" s="205"/>
      <c r="R15" s="191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8" x14ac:dyDescent="0.25">
      <c r="A16" s="100">
        <f t="shared" si="0"/>
        <v>46212</v>
      </c>
      <c r="B16" s="140"/>
      <c r="C16" s="137"/>
      <c r="D16" s="138"/>
      <c r="E16" s="139"/>
      <c r="F16" s="137"/>
      <c r="G16" s="138"/>
      <c r="H16" s="139"/>
      <c r="I16" s="137"/>
      <c r="J16" s="138"/>
      <c r="K16" s="139"/>
      <c r="L16" s="137"/>
      <c r="M16" s="138"/>
      <c r="N16" s="139"/>
      <c r="O16" s="137"/>
      <c r="P16" s="138"/>
      <c r="Q16" s="204"/>
      <c r="R16" s="191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4.4" x14ac:dyDescent="0.3">
      <c r="A17" s="100">
        <f t="shared" si="0"/>
        <v>46213</v>
      </c>
      <c r="B17" s="140"/>
      <c r="C17" s="137"/>
      <c r="D17" s="138"/>
      <c r="E17" s="139"/>
      <c r="F17" s="137"/>
      <c r="G17" s="138"/>
      <c r="H17" s="139"/>
      <c r="I17" s="137"/>
      <c r="J17" s="138"/>
      <c r="K17" s="139"/>
      <c r="L17" s="137"/>
      <c r="M17" s="138"/>
      <c r="N17" s="139"/>
      <c r="O17" s="137"/>
      <c r="P17" s="138"/>
      <c r="Q17" s="204"/>
      <c r="R17" s="191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4.4" x14ac:dyDescent="0.3">
      <c r="A18" s="100">
        <f t="shared" si="0"/>
        <v>46214</v>
      </c>
      <c r="B18" s="140"/>
      <c r="C18" s="137"/>
      <c r="D18" s="138"/>
      <c r="E18" s="139"/>
      <c r="F18" s="137"/>
      <c r="G18" s="138"/>
      <c r="H18" s="139"/>
      <c r="I18" s="137"/>
      <c r="J18" s="138"/>
      <c r="K18" s="139"/>
      <c r="L18" s="137"/>
      <c r="M18" s="138"/>
      <c r="N18" s="139"/>
      <c r="O18" s="137"/>
      <c r="P18" s="138"/>
      <c r="Q18" s="205"/>
      <c r="R18" s="191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4.4" x14ac:dyDescent="0.3">
      <c r="A19" s="100">
        <f t="shared" si="0"/>
        <v>46215</v>
      </c>
      <c r="B19" s="140"/>
      <c r="C19" s="137"/>
      <c r="D19" s="138"/>
      <c r="E19" s="139"/>
      <c r="F19" s="137"/>
      <c r="G19" s="138"/>
      <c r="H19" s="139"/>
      <c r="I19" s="137"/>
      <c r="J19" s="138"/>
      <c r="K19" s="139"/>
      <c r="L19" s="137"/>
      <c r="M19" s="138"/>
      <c r="N19" s="139"/>
      <c r="O19" s="137"/>
      <c r="P19" s="138"/>
      <c r="Q19" s="204"/>
      <c r="R19" s="191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4.4" x14ac:dyDescent="0.3">
      <c r="A20" s="100">
        <f t="shared" si="0"/>
        <v>46216</v>
      </c>
      <c r="B20" s="140"/>
      <c r="C20" s="137"/>
      <c r="D20" s="138"/>
      <c r="E20" s="139"/>
      <c r="F20" s="137"/>
      <c r="G20" s="138"/>
      <c r="H20" s="139"/>
      <c r="I20" s="137"/>
      <c r="J20" s="138"/>
      <c r="K20" s="139"/>
      <c r="L20" s="137"/>
      <c r="M20" s="138"/>
      <c r="N20" s="139"/>
      <c r="O20" s="137"/>
      <c r="P20" s="138"/>
      <c r="Q20" s="221"/>
      <c r="R20" s="220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100">
        <f t="shared" si="0"/>
        <v>46217</v>
      </c>
      <c r="B21" s="140"/>
      <c r="C21" s="137"/>
      <c r="D21" s="138"/>
      <c r="E21" s="139"/>
      <c r="F21" s="137"/>
      <c r="G21" s="138"/>
      <c r="H21" s="139"/>
      <c r="I21" s="137"/>
      <c r="J21" s="138"/>
      <c r="K21" s="139"/>
      <c r="L21" s="137"/>
      <c r="M21" s="138"/>
      <c r="N21" s="139"/>
      <c r="O21" s="137"/>
      <c r="P21" s="138"/>
      <c r="Q21" s="204"/>
      <c r="R21" s="191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thickBot="1" x14ac:dyDescent="0.35">
      <c r="A22" s="101">
        <f t="shared" si="0"/>
        <v>46218</v>
      </c>
      <c r="B22" s="140"/>
      <c r="C22" s="154"/>
      <c r="D22" s="155"/>
      <c r="E22" s="156"/>
      <c r="F22" s="154"/>
      <c r="G22" s="155"/>
      <c r="H22" s="156"/>
      <c r="I22" s="154"/>
      <c r="J22" s="155"/>
      <c r="K22" s="156"/>
      <c r="L22" s="154"/>
      <c r="M22" s="155"/>
      <c r="N22" s="156"/>
      <c r="O22" s="154"/>
      <c r="P22" s="155"/>
      <c r="Q22" s="212"/>
      <c r="R22" s="213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102" t="s">
        <v>17</v>
      </c>
      <c r="B23" s="214">
        <f>SUM(B8:B22)</f>
        <v>0</v>
      </c>
      <c r="C23" s="207"/>
      <c r="D23" s="208"/>
      <c r="E23" s="214">
        <f>SUM(E8:E22)</f>
        <v>0</v>
      </c>
      <c r="F23" s="207"/>
      <c r="G23" s="208"/>
      <c r="H23" s="214">
        <f>SUM(H8:H22)</f>
        <v>0</v>
      </c>
      <c r="I23" s="207"/>
      <c r="J23" s="208"/>
      <c r="K23" s="214">
        <f>SUM(K8:K22)</f>
        <v>0</v>
      </c>
      <c r="L23" s="207"/>
      <c r="M23" s="208"/>
      <c r="N23" s="214">
        <f>SUM(N8:N22)</f>
        <v>0</v>
      </c>
      <c r="O23" s="207"/>
      <c r="P23" s="208"/>
      <c r="Q23" s="103" t="s">
        <v>18</v>
      </c>
      <c r="R23" s="104">
        <f t="shared" ref="R23:R25" si="1">SUM(B23:P23)</f>
        <v>0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25">
      <c r="A24" s="105" t="s">
        <v>20</v>
      </c>
      <c r="B24" s="192">
        <f>SUM(C8:C23)</f>
        <v>0</v>
      </c>
      <c r="C24" s="190"/>
      <c r="D24" s="191"/>
      <c r="E24" s="192">
        <f>SUM(F8:F23)</f>
        <v>0</v>
      </c>
      <c r="F24" s="190"/>
      <c r="G24" s="191"/>
      <c r="H24" s="192">
        <f>SUM(I8:I23)</f>
        <v>0</v>
      </c>
      <c r="I24" s="190"/>
      <c r="J24" s="191"/>
      <c r="K24" s="192">
        <f>SUM(L8:L23)</f>
        <v>0</v>
      </c>
      <c r="L24" s="190"/>
      <c r="M24" s="191"/>
      <c r="N24" s="192">
        <f>SUM(O8:O23)</f>
        <v>0</v>
      </c>
      <c r="O24" s="190"/>
      <c r="P24" s="191"/>
      <c r="Q24" s="106" t="s">
        <v>21</v>
      </c>
      <c r="R24" s="107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thickBot="1" x14ac:dyDescent="0.3">
      <c r="A25" s="108" t="s">
        <v>22</v>
      </c>
      <c r="B25" s="181">
        <f>SUM(D8:D22)</f>
        <v>0</v>
      </c>
      <c r="C25" s="182"/>
      <c r="D25" s="185"/>
      <c r="E25" s="181">
        <f>SUM(G8:G22)</f>
        <v>0</v>
      </c>
      <c r="F25" s="182"/>
      <c r="G25" s="185"/>
      <c r="H25" s="181">
        <f>SUM(J8:J22)</f>
        <v>0</v>
      </c>
      <c r="I25" s="182"/>
      <c r="J25" s="185"/>
      <c r="K25" s="181">
        <f>SUM(M8:M22)</f>
        <v>0</v>
      </c>
      <c r="L25" s="182"/>
      <c r="M25" s="185"/>
      <c r="N25" s="181">
        <f>SUM(P8:P22)</f>
        <v>0</v>
      </c>
      <c r="O25" s="182"/>
      <c r="P25" s="185"/>
      <c r="Q25" s="109" t="s">
        <v>23</v>
      </c>
      <c r="R25" s="110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98">
        <f>A22+1</f>
        <v>46219</v>
      </c>
      <c r="B26" s="151"/>
      <c r="C26" s="159"/>
      <c r="D26" s="160"/>
      <c r="E26" s="161"/>
      <c r="F26" s="159"/>
      <c r="G26" s="160"/>
      <c r="H26" s="161"/>
      <c r="I26" s="159"/>
      <c r="J26" s="160"/>
      <c r="K26" s="161"/>
      <c r="L26" s="159"/>
      <c r="M26" s="160"/>
      <c r="N26" s="161"/>
      <c r="O26" s="159"/>
      <c r="P26" s="160"/>
      <c r="Q26" s="255"/>
      <c r="R26" s="211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100">
        <f t="shared" ref="A27:A41" si="2">A26+1</f>
        <v>46220</v>
      </c>
      <c r="B27" s="151"/>
      <c r="C27" s="137"/>
      <c r="D27" s="138"/>
      <c r="E27" s="139"/>
      <c r="F27" s="137"/>
      <c r="G27" s="138"/>
      <c r="H27" s="139"/>
      <c r="I27" s="137"/>
      <c r="J27" s="138"/>
      <c r="K27" s="139"/>
      <c r="L27" s="137"/>
      <c r="M27" s="138"/>
      <c r="N27" s="139"/>
      <c r="O27" s="137"/>
      <c r="P27" s="138"/>
      <c r="Q27" s="219"/>
      <c r="R27" s="220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100">
        <f t="shared" si="2"/>
        <v>46221</v>
      </c>
      <c r="B28" s="151"/>
      <c r="C28" s="137"/>
      <c r="D28" s="138"/>
      <c r="E28" s="139"/>
      <c r="F28" s="137"/>
      <c r="G28" s="138"/>
      <c r="H28" s="139"/>
      <c r="I28" s="137"/>
      <c r="J28" s="138"/>
      <c r="K28" s="139"/>
      <c r="L28" s="137"/>
      <c r="M28" s="138"/>
      <c r="N28" s="139"/>
      <c r="O28" s="137"/>
      <c r="P28" s="138"/>
      <c r="Q28" s="204"/>
      <c r="R28" s="191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100">
        <f t="shared" si="2"/>
        <v>46222</v>
      </c>
      <c r="B29" s="151"/>
      <c r="C29" s="137"/>
      <c r="D29" s="138"/>
      <c r="E29" s="139"/>
      <c r="F29" s="137"/>
      <c r="G29" s="138"/>
      <c r="H29" s="139"/>
      <c r="I29" s="137"/>
      <c r="J29" s="138"/>
      <c r="K29" s="139"/>
      <c r="L29" s="137"/>
      <c r="M29" s="138"/>
      <c r="N29" s="139"/>
      <c r="O29" s="137"/>
      <c r="P29" s="138"/>
      <c r="Q29" s="204"/>
      <c r="R29" s="191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100">
        <f t="shared" si="2"/>
        <v>46223</v>
      </c>
      <c r="B30" s="151"/>
      <c r="C30" s="137"/>
      <c r="D30" s="138"/>
      <c r="E30" s="139"/>
      <c r="F30" s="137"/>
      <c r="G30" s="138"/>
      <c r="H30" s="139"/>
      <c r="I30" s="137"/>
      <c r="J30" s="138"/>
      <c r="K30" s="139"/>
      <c r="L30" s="137"/>
      <c r="M30" s="138"/>
      <c r="N30" s="139"/>
      <c r="O30" s="137"/>
      <c r="P30" s="138"/>
      <c r="Q30" s="204"/>
      <c r="R30" s="191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100">
        <f t="shared" si="2"/>
        <v>46224</v>
      </c>
      <c r="B31" s="151"/>
      <c r="C31" s="137"/>
      <c r="D31" s="138"/>
      <c r="E31" s="139"/>
      <c r="F31" s="137"/>
      <c r="G31" s="138"/>
      <c r="H31" s="139"/>
      <c r="I31" s="137"/>
      <c r="J31" s="138"/>
      <c r="K31" s="139"/>
      <c r="L31" s="137"/>
      <c r="M31" s="138"/>
      <c r="N31" s="139"/>
      <c r="O31" s="137"/>
      <c r="P31" s="138"/>
      <c r="Q31" s="221"/>
      <c r="R31" s="191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100">
        <f t="shared" si="2"/>
        <v>46225</v>
      </c>
      <c r="B32" s="151"/>
      <c r="C32" s="137"/>
      <c r="D32" s="138"/>
      <c r="E32" s="139"/>
      <c r="F32" s="137"/>
      <c r="G32" s="138"/>
      <c r="H32" s="139"/>
      <c r="I32" s="137"/>
      <c r="J32" s="138"/>
      <c r="K32" s="139"/>
      <c r="L32" s="137"/>
      <c r="M32" s="138"/>
      <c r="N32" s="139"/>
      <c r="O32" s="137"/>
      <c r="P32" s="138"/>
      <c r="Q32" s="204"/>
      <c r="R32" s="191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100">
        <f t="shared" si="2"/>
        <v>46226</v>
      </c>
      <c r="B33" s="151"/>
      <c r="C33" s="137"/>
      <c r="D33" s="138"/>
      <c r="E33" s="139"/>
      <c r="F33" s="137"/>
      <c r="G33" s="138"/>
      <c r="H33" s="139"/>
      <c r="I33" s="137"/>
      <c r="J33" s="138"/>
      <c r="K33" s="139"/>
      <c r="L33" s="137"/>
      <c r="M33" s="138"/>
      <c r="N33" s="139"/>
      <c r="O33" s="137"/>
      <c r="P33" s="138"/>
      <c r="Q33" s="205"/>
      <c r="R33" s="191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100">
        <f t="shared" si="2"/>
        <v>46227</v>
      </c>
      <c r="B34" s="151"/>
      <c r="C34" s="137"/>
      <c r="D34" s="138"/>
      <c r="E34" s="139"/>
      <c r="F34" s="137"/>
      <c r="G34" s="138"/>
      <c r="H34" s="139"/>
      <c r="I34" s="137"/>
      <c r="J34" s="138"/>
      <c r="K34" s="139"/>
      <c r="L34" s="137"/>
      <c r="M34" s="138"/>
      <c r="N34" s="139"/>
      <c r="O34" s="137"/>
      <c r="P34" s="138"/>
      <c r="Q34" s="204"/>
      <c r="R34" s="191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100">
        <f t="shared" si="2"/>
        <v>46228</v>
      </c>
      <c r="B35" s="151"/>
      <c r="C35" s="137"/>
      <c r="D35" s="138"/>
      <c r="E35" s="139"/>
      <c r="F35" s="137"/>
      <c r="G35" s="138"/>
      <c r="H35" s="139"/>
      <c r="I35" s="137"/>
      <c r="J35" s="138"/>
      <c r="K35" s="139"/>
      <c r="L35" s="137"/>
      <c r="M35" s="138"/>
      <c r="N35" s="139"/>
      <c r="O35" s="137"/>
      <c r="P35" s="138"/>
      <c r="Q35" s="204"/>
      <c r="R35" s="191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100">
        <f t="shared" si="2"/>
        <v>46229</v>
      </c>
      <c r="B36" s="151"/>
      <c r="C36" s="137"/>
      <c r="D36" s="138"/>
      <c r="E36" s="139"/>
      <c r="F36" s="137"/>
      <c r="G36" s="138"/>
      <c r="H36" s="139"/>
      <c r="I36" s="137"/>
      <c r="J36" s="138"/>
      <c r="K36" s="139"/>
      <c r="L36" s="137"/>
      <c r="M36" s="138"/>
      <c r="N36" s="139"/>
      <c r="O36" s="137"/>
      <c r="P36" s="138"/>
      <c r="Q36" s="205"/>
      <c r="R36" s="191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100">
        <f t="shared" si="2"/>
        <v>46230</v>
      </c>
      <c r="B37" s="151"/>
      <c r="C37" s="137"/>
      <c r="D37" s="138"/>
      <c r="E37" s="139"/>
      <c r="F37" s="137"/>
      <c r="G37" s="138"/>
      <c r="H37" s="139"/>
      <c r="I37" s="137"/>
      <c r="J37" s="138"/>
      <c r="K37" s="139"/>
      <c r="L37" s="137"/>
      <c r="M37" s="138"/>
      <c r="N37" s="139"/>
      <c r="O37" s="137"/>
      <c r="P37" s="138"/>
      <c r="Q37" s="204"/>
      <c r="R37" s="191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100">
        <f t="shared" si="2"/>
        <v>46231</v>
      </c>
      <c r="B38" s="151"/>
      <c r="C38" s="137"/>
      <c r="D38" s="138"/>
      <c r="E38" s="139"/>
      <c r="F38" s="137"/>
      <c r="G38" s="138"/>
      <c r="H38" s="139"/>
      <c r="I38" s="137"/>
      <c r="J38" s="138"/>
      <c r="K38" s="139"/>
      <c r="L38" s="137"/>
      <c r="M38" s="138"/>
      <c r="N38" s="139"/>
      <c r="O38" s="137"/>
      <c r="P38" s="138"/>
      <c r="Q38" s="204"/>
      <c r="R38" s="191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100">
        <f t="shared" si="2"/>
        <v>46232</v>
      </c>
      <c r="B39" s="151"/>
      <c r="C39" s="137"/>
      <c r="D39" s="138"/>
      <c r="E39" s="139"/>
      <c r="F39" s="137"/>
      <c r="G39" s="138"/>
      <c r="H39" s="139"/>
      <c r="I39" s="137"/>
      <c r="J39" s="138"/>
      <c r="K39" s="139"/>
      <c r="L39" s="137"/>
      <c r="M39" s="138"/>
      <c r="N39" s="139"/>
      <c r="O39" s="137"/>
      <c r="P39" s="138"/>
      <c r="Q39" s="204"/>
      <c r="R39" s="191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x14ac:dyDescent="0.25">
      <c r="A40" s="100">
        <f t="shared" si="2"/>
        <v>46233</v>
      </c>
      <c r="B40" s="151"/>
      <c r="C40" s="137"/>
      <c r="D40" s="138"/>
      <c r="E40" s="139"/>
      <c r="F40" s="137"/>
      <c r="G40" s="138"/>
      <c r="H40" s="139"/>
      <c r="I40" s="137"/>
      <c r="J40" s="138"/>
      <c r="K40" s="139"/>
      <c r="L40" s="137"/>
      <c r="M40" s="138"/>
      <c r="N40" s="139"/>
      <c r="O40" s="137"/>
      <c r="P40" s="138"/>
      <c r="Q40" s="148"/>
      <c r="R40" s="147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15.75" customHeight="1" thickBot="1" x14ac:dyDescent="0.3">
      <c r="A41" s="100">
        <f t="shared" si="2"/>
        <v>46234</v>
      </c>
      <c r="B41" s="151"/>
      <c r="C41" s="137"/>
      <c r="D41" s="138"/>
      <c r="E41" s="139"/>
      <c r="F41" s="137"/>
      <c r="G41" s="138"/>
      <c r="H41" s="139"/>
      <c r="I41" s="137"/>
      <c r="J41" s="138"/>
      <c r="K41" s="139"/>
      <c r="L41" s="137"/>
      <c r="M41" s="138"/>
      <c r="N41" s="139"/>
      <c r="O41" s="137"/>
      <c r="P41" s="138"/>
      <c r="Q41" s="204"/>
      <c r="R41" s="191"/>
      <c r="S41" s="6"/>
      <c r="T41" s="6"/>
      <c r="U41" s="38"/>
      <c r="V41" s="38"/>
      <c r="W41" s="6"/>
      <c r="X41" s="6"/>
      <c r="Y41" s="6"/>
      <c r="Z41" s="6"/>
      <c r="AA41" s="6"/>
      <c r="AB41" s="6"/>
      <c r="AC41" s="6"/>
    </row>
    <row r="42" spans="1:29" ht="15.75" customHeight="1" x14ac:dyDescent="0.25">
      <c r="A42" s="111" t="s">
        <v>24</v>
      </c>
      <c r="B42" s="206">
        <f>SUM(B26:B41)</f>
        <v>0</v>
      </c>
      <c r="C42" s="207"/>
      <c r="D42" s="208"/>
      <c r="E42" s="214">
        <f>SUM(E26:E41)</f>
        <v>0</v>
      </c>
      <c r="F42" s="207"/>
      <c r="G42" s="215"/>
      <c r="H42" s="206">
        <f>SUM(H26:H41)</f>
        <v>0</v>
      </c>
      <c r="I42" s="207"/>
      <c r="J42" s="208"/>
      <c r="K42" s="214">
        <f>SUM(K26:K41)</f>
        <v>0</v>
      </c>
      <c r="L42" s="207"/>
      <c r="M42" s="215"/>
      <c r="N42" s="214">
        <f>SUM(N26:N41)</f>
        <v>0</v>
      </c>
      <c r="O42" s="207"/>
      <c r="P42" s="215"/>
      <c r="Q42" s="103" t="s">
        <v>18</v>
      </c>
      <c r="R42" s="112">
        <f t="shared" ref="R42:R44" si="3">SUM(B42:P42)</f>
        <v>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x14ac:dyDescent="0.25">
      <c r="A43" s="113" t="s">
        <v>25</v>
      </c>
      <c r="B43" s="189">
        <f>SUM(C26:C42)</f>
        <v>0</v>
      </c>
      <c r="C43" s="190"/>
      <c r="D43" s="191"/>
      <c r="E43" s="192">
        <f>SUM(F26:F42)</f>
        <v>0</v>
      </c>
      <c r="F43" s="190"/>
      <c r="G43" s="216"/>
      <c r="H43" s="189">
        <f>SUM(I26:I42)</f>
        <v>0</v>
      </c>
      <c r="I43" s="190"/>
      <c r="J43" s="191"/>
      <c r="K43" s="192">
        <f>SUM(L26:L42)</f>
        <v>0</v>
      </c>
      <c r="L43" s="190"/>
      <c r="M43" s="216"/>
      <c r="N43" s="192">
        <f>SUM(O26:O42)</f>
        <v>0</v>
      </c>
      <c r="O43" s="190"/>
      <c r="P43" s="216"/>
      <c r="Q43" s="106" t="s">
        <v>26</v>
      </c>
      <c r="R43" s="114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15.75" customHeight="1" thickBot="1" x14ac:dyDescent="0.3">
      <c r="A44" s="115" t="s">
        <v>27</v>
      </c>
      <c r="B44" s="184">
        <f>SUM(D26:D41)</f>
        <v>0</v>
      </c>
      <c r="C44" s="182"/>
      <c r="D44" s="185"/>
      <c r="E44" s="181">
        <f>SUM(G26:G41)</f>
        <v>0</v>
      </c>
      <c r="F44" s="182"/>
      <c r="G44" s="183"/>
      <c r="H44" s="184">
        <f>SUM(J26:J41)</f>
        <v>0</v>
      </c>
      <c r="I44" s="182"/>
      <c r="J44" s="185"/>
      <c r="K44" s="181">
        <f>SUM(M26:M41)</f>
        <v>0</v>
      </c>
      <c r="L44" s="182"/>
      <c r="M44" s="183"/>
      <c r="N44" s="181">
        <f>SUM(P26:P41)</f>
        <v>0</v>
      </c>
      <c r="O44" s="182"/>
      <c r="P44" s="183"/>
      <c r="Q44" s="109" t="s">
        <v>23</v>
      </c>
      <c r="R44" s="116">
        <f t="shared" si="3"/>
        <v>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21" hidden="1" customHeight="1" x14ac:dyDescent="0.25">
      <c r="A45" s="157"/>
      <c r="B45" s="186" t="str">
        <f>IF(ISBLANK(B6),"",B6)</f>
        <v/>
      </c>
      <c r="C45" s="187"/>
      <c r="D45" s="188"/>
      <c r="E45" s="186" t="str">
        <f>IF(ISBLANK(E6),"",E6)</f>
        <v/>
      </c>
      <c r="F45" s="187"/>
      <c r="G45" s="188"/>
      <c r="H45" s="186" t="str">
        <f>IF(ISBLANK(H6),"",H6)</f>
        <v/>
      </c>
      <c r="I45" s="187"/>
      <c r="J45" s="188"/>
      <c r="K45" s="186" t="str">
        <f>IF(ISBLANK(K6),"",K6)</f>
        <v/>
      </c>
      <c r="L45" s="187"/>
      <c r="M45" s="188"/>
      <c r="N45" s="186" t="str">
        <f>IF(ISBLANK(N6),"",N6)</f>
        <v/>
      </c>
      <c r="O45" s="187"/>
      <c r="P45" s="188"/>
      <c r="Q45" s="179"/>
      <c r="R45" s="180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25">
      <c r="A46" s="117" t="s">
        <v>28</v>
      </c>
      <c r="B46" s="206">
        <f>B23+B42</f>
        <v>0</v>
      </c>
      <c r="C46" s="207"/>
      <c r="D46" s="208"/>
      <c r="E46" s="209">
        <f>E23+E42</f>
        <v>0</v>
      </c>
      <c r="F46" s="210"/>
      <c r="G46" s="211"/>
      <c r="H46" s="209">
        <f>H23+H42</f>
        <v>0</v>
      </c>
      <c r="I46" s="210"/>
      <c r="J46" s="211"/>
      <c r="K46" s="209">
        <f>K23+K42</f>
        <v>0</v>
      </c>
      <c r="L46" s="210"/>
      <c r="M46" s="211"/>
      <c r="N46" s="209">
        <f>N23+N42</f>
        <v>0</v>
      </c>
      <c r="O46" s="210"/>
      <c r="P46" s="211"/>
      <c r="Q46" s="103" t="s">
        <v>18</v>
      </c>
      <c r="R46" s="112">
        <f t="shared" ref="R46:R48" si="4">SUM(B46:P46)</f>
        <v>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x14ac:dyDescent="0.25">
      <c r="A47" s="105" t="s">
        <v>29</v>
      </c>
      <c r="B47" s="192">
        <f>B24+B43</f>
        <v>0</v>
      </c>
      <c r="C47" s="190"/>
      <c r="D47" s="191"/>
      <c r="E47" s="189">
        <f>E24+E43</f>
        <v>0</v>
      </c>
      <c r="F47" s="190"/>
      <c r="G47" s="191"/>
      <c r="H47" s="189">
        <f>H24+H43</f>
        <v>0</v>
      </c>
      <c r="I47" s="190"/>
      <c r="J47" s="191"/>
      <c r="K47" s="189">
        <f>K24+K43</f>
        <v>0</v>
      </c>
      <c r="L47" s="190"/>
      <c r="M47" s="191"/>
      <c r="N47" s="189">
        <f>N24+N43</f>
        <v>0</v>
      </c>
      <c r="O47" s="190"/>
      <c r="P47" s="191"/>
      <c r="Q47" s="106" t="s">
        <v>26</v>
      </c>
      <c r="R47" s="114">
        <f t="shared" si="4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15.75" customHeight="1" thickBot="1" x14ac:dyDescent="0.3">
      <c r="A48" s="118" t="s">
        <v>30</v>
      </c>
      <c r="B48" s="181">
        <f>B25+B44</f>
        <v>0</v>
      </c>
      <c r="C48" s="182"/>
      <c r="D48" s="185"/>
      <c r="E48" s="184">
        <f>E25+E44</f>
        <v>0</v>
      </c>
      <c r="F48" s="182"/>
      <c r="G48" s="185"/>
      <c r="H48" s="184">
        <f>H25+H44</f>
        <v>0</v>
      </c>
      <c r="I48" s="182"/>
      <c r="J48" s="185"/>
      <c r="K48" s="184">
        <f>K25+K44</f>
        <v>0</v>
      </c>
      <c r="L48" s="182"/>
      <c r="M48" s="185"/>
      <c r="N48" s="184">
        <f>N25+N44</f>
        <v>0</v>
      </c>
      <c r="O48" s="182"/>
      <c r="P48" s="185"/>
      <c r="Q48" s="109" t="s">
        <v>23</v>
      </c>
      <c r="R48" s="116">
        <f t="shared" si="4"/>
        <v>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7.5" hidden="1" customHeight="1" x14ac:dyDescent="0.25">
      <c r="A49" s="119"/>
      <c r="B49" s="186" t="str">
        <f>IF(ISBLANK(B10),"",B10)</f>
        <v/>
      </c>
      <c r="C49" s="187"/>
      <c r="D49" s="188"/>
      <c r="E49" s="186" t="str">
        <f>IF(ISBLANK(E10),"",E10)</f>
        <v/>
      </c>
      <c r="F49" s="187"/>
      <c r="G49" s="188"/>
      <c r="H49" s="186" t="str">
        <f>IF(ISBLANK(H10),"",H10)</f>
        <v/>
      </c>
      <c r="I49" s="187"/>
      <c r="J49" s="188"/>
      <c r="K49" s="186" t="str">
        <f>IF(ISBLANK(K10),"",K10)</f>
        <v/>
      </c>
      <c r="L49" s="187"/>
      <c r="M49" s="188"/>
      <c r="N49" s="186" t="str">
        <f>IF(ISBLANK(N10),"",N10)</f>
        <v/>
      </c>
      <c r="O49" s="187"/>
      <c r="P49" s="188"/>
      <c r="Q49" s="179"/>
      <c r="R49" s="180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thickBot="1" x14ac:dyDescent="0.3">
      <c r="A50" s="158" t="s">
        <v>31</v>
      </c>
      <c r="B50" s="203">
        <f>SUM(B46:D48)</f>
        <v>0</v>
      </c>
      <c r="C50" s="187"/>
      <c r="D50" s="188"/>
      <c r="E50" s="198">
        <f>SUM(E46:G48)</f>
        <v>0</v>
      </c>
      <c r="F50" s="196"/>
      <c r="G50" s="197"/>
      <c r="H50" s="198">
        <f>SUM(H46:J48)</f>
        <v>0</v>
      </c>
      <c r="I50" s="196"/>
      <c r="J50" s="197"/>
      <c r="K50" s="198">
        <f>SUM(K46:M48)</f>
        <v>0</v>
      </c>
      <c r="L50" s="196"/>
      <c r="M50" s="197"/>
      <c r="N50" s="198">
        <f>SUM(N46:P48)</f>
        <v>0</v>
      </c>
      <c r="O50" s="196"/>
      <c r="P50" s="197"/>
      <c r="Q50" s="198">
        <f t="shared" ref="Q50:Q51" si="5">SUM(B50:P50)</f>
        <v>0</v>
      </c>
      <c r="R50" s="197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thickBot="1" x14ac:dyDescent="0.3">
      <c r="A51" s="120" t="s">
        <v>32</v>
      </c>
      <c r="B51" s="195">
        <f>(B46+B48)/((NETWORKDAYS($P$1,EOMONTH($P$1,0), HO))*8)</f>
        <v>0</v>
      </c>
      <c r="C51" s="196"/>
      <c r="D51" s="197"/>
      <c r="E51" s="195">
        <f>(E46+E48)/((NETWORKDAYS($P$1,EOMONTH($P$1,0), HO))*8)</f>
        <v>0</v>
      </c>
      <c r="F51" s="196"/>
      <c r="G51" s="197"/>
      <c r="H51" s="195">
        <f>(H46+H48)/((NETWORKDAYS($P$1,EOMONTH($P$1,0), HO))*8)</f>
        <v>0</v>
      </c>
      <c r="I51" s="196"/>
      <c r="J51" s="197"/>
      <c r="K51" s="195">
        <f>(K46+K48)/((NETWORKDAYS($P$1,EOMONTH($P$1,0), HO))*8)</f>
        <v>0</v>
      </c>
      <c r="L51" s="196"/>
      <c r="M51" s="197"/>
      <c r="N51" s="195">
        <f>(N46+N48)/((NETWORKDAYS($P$1,EOMONTH($P$1,0), HO))*8)</f>
        <v>0</v>
      </c>
      <c r="O51" s="196"/>
      <c r="P51" s="197"/>
      <c r="Q51" s="195">
        <f t="shared" si="5"/>
        <v>0</v>
      </c>
      <c r="R51" s="197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15.75" customHeight="1" thickBot="1" x14ac:dyDescent="0.3">
      <c r="A52" s="120" t="s">
        <v>33</v>
      </c>
      <c r="B52" s="198">
        <f>R46+R48</f>
        <v>0</v>
      </c>
      <c r="C52" s="196"/>
      <c r="D52" s="197"/>
      <c r="E52" s="195" t="s">
        <v>21</v>
      </c>
      <c r="F52" s="196"/>
      <c r="G52" s="197"/>
      <c r="H52" s="198">
        <f>R47</f>
        <v>0</v>
      </c>
      <c r="I52" s="196"/>
      <c r="J52" s="197"/>
      <c r="K52" s="198">
        <f>R47</f>
        <v>0</v>
      </c>
      <c r="L52" s="196"/>
      <c r="M52" s="197"/>
      <c r="N52" s="195" t="s">
        <v>34</v>
      </c>
      <c r="O52" s="196"/>
      <c r="P52" s="197"/>
      <c r="Q52" s="198">
        <f>B52+H52</f>
        <v>0</v>
      </c>
      <c r="R52" s="197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24.75" customHeight="1" x14ac:dyDescent="0.25">
      <c r="A53" s="199" t="s">
        <v>35</v>
      </c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31.5" customHeight="1" thickBot="1" x14ac:dyDescent="0.3">
      <c r="A54" s="201" t="s">
        <v>36</v>
      </c>
      <c r="B54" s="201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202" t="s">
        <v>37</v>
      </c>
      <c r="P54" s="202"/>
      <c r="Q54" s="152"/>
      <c r="R54" s="152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121"/>
      <c r="B55" s="90"/>
      <c r="C55" s="90"/>
      <c r="D55" s="91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15.75" customHeight="1" x14ac:dyDescent="0.25">
      <c r="A56" s="193" t="s">
        <v>38</v>
      </c>
      <c r="B56" s="194"/>
      <c r="C56" s="125"/>
      <c r="D56" s="126"/>
      <c r="E56" s="38"/>
      <c r="F56" s="127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23.25" customHeight="1" x14ac:dyDescent="0.25">
      <c r="A57" s="193" t="s">
        <v>39</v>
      </c>
      <c r="B57" s="194"/>
      <c r="C57" s="123"/>
      <c r="D57" s="124"/>
      <c r="E57" s="123"/>
      <c r="F57" s="12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122"/>
      <c r="B58" s="38"/>
      <c r="C58" s="38"/>
      <c r="D58" s="52"/>
      <c r="E58" s="38"/>
      <c r="F58" s="127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spans="1:29" ht="15.75" customHeight="1" x14ac:dyDescent="0.25">
      <c r="A257" s="51"/>
      <c r="B257" s="38"/>
      <c r="C257" s="38"/>
      <c r="D257" s="52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spans="1:29" ht="15.75" customHeight="1" x14ac:dyDescent="0.25"/>
    <row r="259" spans="1:29" ht="15.75" customHeight="1" x14ac:dyDescent="0.25"/>
    <row r="260" spans="1:29" ht="15.75" customHeight="1" x14ac:dyDescent="0.25"/>
    <row r="261" spans="1:29" ht="15.75" customHeight="1" x14ac:dyDescent="0.25"/>
    <row r="262" spans="1:29" ht="15.75" customHeight="1" x14ac:dyDescent="0.25"/>
    <row r="263" spans="1:29" ht="15.75" customHeight="1" x14ac:dyDescent="0.25"/>
    <row r="264" spans="1:29" ht="15.75" customHeight="1" x14ac:dyDescent="0.25"/>
    <row r="265" spans="1:29" ht="15.75" customHeight="1" x14ac:dyDescent="0.25"/>
    <row r="266" spans="1:29" ht="15.75" customHeight="1" x14ac:dyDescent="0.25"/>
    <row r="267" spans="1:29" ht="15.75" customHeight="1" x14ac:dyDescent="0.25"/>
    <row r="268" spans="1:29" ht="15.75" customHeight="1" x14ac:dyDescent="0.25"/>
    <row r="269" spans="1:29" ht="15.75" customHeight="1" x14ac:dyDescent="0.25"/>
    <row r="270" spans="1:29" ht="15.75" customHeight="1" x14ac:dyDescent="0.25"/>
    <row r="271" spans="1:29" ht="15.75" customHeight="1" x14ac:dyDescent="0.25"/>
    <row r="272" spans="1:2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33">
    <mergeCell ref="A53:R53"/>
    <mergeCell ref="A54:B54"/>
    <mergeCell ref="O54:P54"/>
    <mergeCell ref="A56:B56"/>
    <mergeCell ref="A57:B57"/>
    <mergeCell ref="B52:D52"/>
    <mergeCell ref="E52:G52"/>
    <mergeCell ref="H52:J52"/>
    <mergeCell ref="K52:M52"/>
    <mergeCell ref="N52:P52"/>
    <mergeCell ref="Q52:R52"/>
    <mergeCell ref="B51:D51"/>
    <mergeCell ref="E51:G51"/>
    <mergeCell ref="H51:J51"/>
    <mergeCell ref="K51:M51"/>
    <mergeCell ref="N51:P51"/>
    <mergeCell ref="Q51:R51"/>
    <mergeCell ref="Q49:R49"/>
    <mergeCell ref="B50:D50"/>
    <mergeCell ref="E50:G50"/>
    <mergeCell ref="H50:J50"/>
    <mergeCell ref="K50:M50"/>
    <mergeCell ref="N50:P50"/>
    <mergeCell ref="Q50:R50"/>
    <mergeCell ref="B48:D48"/>
    <mergeCell ref="E48:G48"/>
    <mergeCell ref="H48:J48"/>
    <mergeCell ref="K48:M48"/>
    <mergeCell ref="N48:P48"/>
    <mergeCell ref="B49:D49"/>
    <mergeCell ref="E49:G49"/>
    <mergeCell ref="H49:J49"/>
    <mergeCell ref="K49:M49"/>
    <mergeCell ref="N49:P49"/>
    <mergeCell ref="B46:D46"/>
    <mergeCell ref="E46:G46"/>
    <mergeCell ref="H46:J46"/>
    <mergeCell ref="K46:M46"/>
    <mergeCell ref="N46:P46"/>
    <mergeCell ref="B47:D47"/>
    <mergeCell ref="E47:G47"/>
    <mergeCell ref="H47:J47"/>
    <mergeCell ref="K47:M47"/>
    <mergeCell ref="N47:P47"/>
    <mergeCell ref="B45:D45"/>
    <mergeCell ref="E45:G45"/>
    <mergeCell ref="H45:J45"/>
    <mergeCell ref="K45:M45"/>
    <mergeCell ref="N45:P45"/>
    <mergeCell ref="Q45:R45"/>
    <mergeCell ref="B43:D43"/>
    <mergeCell ref="E43:G43"/>
    <mergeCell ref="H43:J43"/>
    <mergeCell ref="K43:M43"/>
    <mergeCell ref="N43:P43"/>
    <mergeCell ref="B44:D44"/>
    <mergeCell ref="E44:G44"/>
    <mergeCell ref="H44:J44"/>
    <mergeCell ref="K44:M44"/>
    <mergeCell ref="N44:P44"/>
    <mergeCell ref="Q38:R38"/>
    <mergeCell ref="Q39:R39"/>
    <mergeCell ref="Q41:R41"/>
    <mergeCell ref="B42:D42"/>
    <mergeCell ref="E42:G42"/>
    <mergeCell ref="H42:J42"/>
    <mergeCell ref="K42:M42"/>
    <mergeCell ref="N42:P42"/>
    <mergeCell ref="Q32:R32"/>
    <mergeCell ref="Q33:R33"/>
    <mergeCell ref="Q34:R34"/>
    <mergeCell ref="Q35:R35"/>
    <mergeCell ref="Q36:R36"/>
    <mergeCell ref="Q37:R37"/>
    <mergeCell ref="Q26:R26"/>
    <mergeCell ref="Q27:R27"/>
    <mergeCell ref="Q28:R28"/>
    <mergeCell ref="Q29:R29"/>
    <mergeCell ref="Q30:R30"/>
    <mergeCell ref="Q31:R31"/>
    <mergeCell ref="B24:D24"/>
    <mergeCell ref="E24:G24"/>
    <mergeCell ref="H24:J24"/>
    <mergeCell ref="K24:M24"/>
    <mergeCell ref="N24:P24"/>
    <mergeCell ref="B25:D25"/>
    <mergeCell ref="E25:G25"/>
    <mergeCell ref="H25:J25"/>
    <mergeCell ref="K25:M25"/>
    <mergeCell ref="N25:P25"/>
    <mergeCell ref="Q20:R20"/>
    <mergeCell ref="Q21:R21"/>
    <mergeCell ref="Q22:R22"/>
    <mergeCell ref="B23:D23"/>
    <mergeCell ref="E23:G23"/>
    <mergeCell ref="H23:J23"/>
    <mergeCell ref="K23:M23"/>
    <mergeCell ref="N23:P23"/>
    <mergeCell ref="Q14:R14"/>
    <mergeCell ref="Q15:R15"/>
    <mergeCell ref="Q16:R16"/>
    <mergeCell ref="Q17:R17"/>
    <mergeCell ref="Q18:R18"/>
    <mergeCell ref="Q19:R19"/>
    <mergeCell ref="Q8:R8"/>
    <mergeCell ref="Q9:R9"/>
    <mergeCell ref="Q10:R10"/>
    <mergeCell ref="Q11:R11"/>
    <mergeCell ref="Q12:R12"/>
    <mergeCell ref="Q13:R13"/>
    <mergeCell ref="N5:P5"/>
    <mergeCell ref="B6:D6"/>
    <mergeCell ref="E6:G6"/>
    <mergeCell ref="H6:J6"/>
    <mergeCell ref="K6:M6"/>
    <mergeCell ref="N6:P6"/>
    <mergeCell ref="A1:B1"/>
    <mergeCell ref="C1:O1"/>
    <mergeCell ref="P1:R1"/>
    <mergeCell ref="A2:B2"/>
    <mergeCell ref="C2:R2"/>
    <mergeCell ref="A3:B3"/>
    <mergeCell ref="C3:R3"/>
    <mergeCell ref="B4:D4"/>
    <mergeCell ref="E4:G4"/>
    <mergeCell ref="H4:J4"/>
    <mergeCell ref="K4:M4"/>
    <mergeCell ref="N4:P4"/>
    <mergeCell ref="Q4:R7"/>
    <mergeCell ref="B5:D5"/>
    <mergeCell ref="E5:G5"/>
    <mergeCell ref="H5:J5"/>
    <mergeCell ref="K5:M5"/>
  </mergeCells>
  <conditionalFormatting sqref="B23 K42:N42">
    <cfRule type="cellIs" dxfId="917" priority="7" operator="greaterThan">
      <formula>0</formula>
    </cfRule>
  </conditionalFormatting>
  <conditionalFormatting sqref="B24 K43:N43">
    <cfRule type="cellIs" dxfId="916" priority="4" operator="greaterThan">
      <formula>1</formula>
    </cfRule>
  </conditionalFormatting>
  <conditionalFormatting sqref="B24:B25 K44:N44">
    <cfRule type="cellIs" dxfId="915" priority="6" operator="greaterThan">
      <formula>0</formula>
    </cfRule>
  </conditionalFormatting>
  <conditionalFormatting sqref="B42">
    <cfRule type="cellIs" dxfId="914" priority="20" operator="greaterThan">
      <formula>0</formula>
    </cfRule>
  </conditionalFormatting>
  <conditionalFormatting sqref="B43">
    <cfRule type="cellIs" dxfId="913" priority="77" operator="greaterThan">
      <formula>1</formula>
    </cfRule>
    <cfRule type="cellIs" dxfId="912" priority="17" operator="greaterThan">
      <formula>1</formula>
    </cfRule>
  </conditionalFormatting>
  <conditionalFormatting sqref="B43:B44">
    <cfRule type="cellIs" dxfId="911" priority="19" operator="greaterThan">
      <formula>0</formula>
    </cfRule>
    <cfRule type="cellIs" dxfId="910" priority="79" operator="greaterThan">
      <formula>0</formula>
    </cfRule>
  </conditionalFormatting>
  <conditionalFormatting sqref="B46">
    <cfRule type="cellIs" dxfId="909" priority="14" operator="greaterThan">
      <formula>0</formula>
    </cfRule>
  </conditionalFormatting>
  <conditionalFormatting sqref="B47">
    <cfRule type="cellIs" dxfId="908" priority="11" operator="greaterThan">
      <formula>1</formula>
    </cfRule>
  </conditionalFormatting>
  <conditionalFormatting sqref="B47:B48">
    <cfRule type="cellIs" dxfId="907" priority="13" operator="greaterThan">
      <formula>0</formula>
    </cfRule>
  </conditionalFormatting>
  <conditionalFormatting sqref="B25:D25">
    <cfRule type="cellIs" dxfId="906" priority="52" operator="greaterThan">
      <formula>0</formula>
    </cfRule>
  </conditionalFormatting>
  <conditionalFormatting sqref="B44:D44">
    <cfRule type="cellIs" dxfId="905" priority="82" operator="greaterThan">
      <formula>0</formula>
    </cfRule>
  </conditionalFormatting>
  <conditionalFormatting sqref="B48:M48">
    <cfRule type="cellIs" dxfId="904" priority="119" operator="greaterThan">
      <formula>0</formula>
    </cfRule>
  </conditionalFormatting>
  <conditionalFormatting sqref="B50:M50">
    <cfRule type="cellIs" dxfId="903" priority="16" operator="greaterThan">
      <formula>0</formula>
    </cfRule>
  </conditionalFormatting>
  <conditionalFormatting sqref="B4:P5">
    <cfRule type="containsBlanks" dxfId="902" priority="1">
      <formula>LEN(TRIM(B4))=0</formula>
    </cfRule>
  </conditionalFormatting>
  <conditionalFormatting sqref="B48:P48 R48">
    <cfRule type="cellIs" dxfId="901" priority="10" operator="greaterThan">
      <formula>0</formula>
    </cfRule>
  </conditionalFormatting>
  <conditionalFormatting sqref="C2:R3">
    <cfRule type="containsBlanks" dxfId="900" priority="2">
      <formula>LEN(TRIM(C2))=0</formula>
    </cfRule>
  </conditionalFormatting>
  <conditionalFormatting sqref="E24">
    <cfRule type="cellIs" dxfId="899" priority="53" operator="greaterThan">
      <formula>1</formula>
    </cfRule>
  </conditionalFormatting>
  <conditionalFormatting sqref="E24:E25">
    <cfRule type="cellIs" dxfId="898" priority="55" operator="greaterThan">
      <formula>0</formula>
    </cfRule>
  </conditionalFormatting>
  <conditionalFormatting sqref="E42">
    <cfRule type="cellIs" dxfId="897" priority="25" operator="greaterThan">
      <formula>0</formula>
    </cfRule>
  </conditionalFormatting>
  <conditionalFormatting sqref="E43">
    <cfRule type="cellIs" dxfId="896" priority="22" operator="greaterThan">
      <formula>1</formula>
    </cfRule>
    <cfRule type="cellIs" dxfId="895" priority="83" operator="greaterThan">
      <formula>1</formula>
    </cfRule>
    <cfRule type="cellIs" dxfId="894" priority="88" operator="greaterThan">
      <formula>1</formula>
    </cfRule>
  </conditionalFormatting>
  <conditionalFormatting sqref="E43:E44">
    <cfRule type="cellIs" dxfId="893" priority="24" operator="greaterThan">
      <formula>0</formula>
    </cfRule>
    <cfRule type="cellIs" dxfId="892" priority="85" operator="greaterThan">
      <formula>0</formula>
    </cfRule>
    <cfRule type="cellIs" dxfId="891" priority="90" operator="greaterThan">
      <formula>0</formula>
    </cfRule>
  </conditionalFormatting>
  <conditionalFormatting sqref="E46">
    <cfRule type="cellIs" dxfId="890" priority="40" operator="greaterThan">
      <formula>0</formula>
    </cfRule>
  </conditionalFormatting>
  <conditionalFormatting sqref="E47">
    <cfRule type="cellIs" dxfId="889" priority="37" operator="greaterThan">
      <formula>1</formula>
    </cfRule>
  </conditionalFormatting>
  <conditionalFormatting sqref="E47:E48">
    <cfRule type="cellIs" dxfId="888" priority="39" operator="greaterThan">
      <formula>0</formula>
    </cfRule>
  </conditionalFormatting>
  <conditionalFormatting sqref="E25:G25">
    <cfRule type="cellIs" dxfId="887" priority="58" operator="greaterThan">
      <formula>0</formula>
    </cfRule>
  </conditionalFormatting>
  <conditionalFormatting sqref="E44:G44">
    <cfRule type="cellIs" dxfId="886" priority="93" operator="greaterThan">
      <formula>0</formula>
    </cfRule>
  </conditionalFormatting>
  <conditionalFormatting sqref="E23:H23">
    <cfRule type="cellIs" dxfId="885" priority="56" operator="greaterThan">
      <formula>0</formula>
    </cfRule>
  </conditionalFormatting>
  <conditionalFormatting sqref="E24:M24">
    <cfRule type="cellIs" dxfId="884" priority="72" operator="greaterThan">
      <formula>0</formula>
    </cfRule>
  </conditionalFormatting>
  <conditionalFormatting sqref="E43:M43">
    <cfRule type="cellIs" dxfId="883" priority="116" operator="greaterThan">
      <formula>0</formula>
    </cfRule>
  </conditionalFormatting>
  <conditionalFormatting sqref="H24">
    <cfRule type="cellIs" dxfId="882" priority="59" operator="greaterThan">
      <formula>1</formula>
    </cfRule>
  </conditionalFormatting>
  <conditionalFormatting sqref="H24:H25">
    <cfRule type="cellIs" dxfId="881" priority="61" operator="greaterThan">
      <formula>0</formula>
    </cfRule>
  </conditionalFormatting>
  <conditionalFormatting sqref="H42">
    <cfRule type="cellIs" dxfId="880" priority="30" operator="greaterThan">
      <formula>0</formula>
    </cfRule>
  </conditionalFormatting>
  <conditionalFormatting sqref="H43">
    <cfRule type="cellIs" dxfId="879" priority="27" operator="greaterThan">
      <formula>1</formula>
    </cfRule>
    <cfRule type="cellIs" dxfId="878" priority="99" operator="greaterThan">
      <formula>1</formula>
    </cfRule>
    <cfRule type="cellIs" dxfId="877" priority="94" operator="greaterThan">
      <formula>1</formula>
    </cfRule>
  </conditionalFormatting>
  <conditionalFormatting sqref="H43:H44">
    <cfRule type="cellIs" dxfId="876" priority="29" operator="greaterThan">
      <formula>0</formula>
    </cfRule>
    <cfRule type="cellIs" dxfId="875" priority="96" operator="greaterThan">
      <formula>0</formula>
    </cfRule>
    <cfRule type="cellIs" dxfId="874" priority="101" operator="greaterThan">
      <formula>0</formula>
    </cfRule>
  </conditionalFormatting>
  <conditionalFormatting sqref="H46">
    <cfRule type="cellIs" dxfId="873" priority="45" operator="greaterThan">
      <formula>0</formula>
    </cfRule>
  </conditionalFormatting>
  <conditionalFormatting sqref="H47">
    <cfRule type="cellIs" dxfId="872" priority="42" operator="greaterThan">
      <formula>1</formula>
    </cfRule>
  </conditionalFormatting>
  <conditionalFormatting sqref="H47:H48">
    <cfRule type="cellIs" dxfId="871" priority="44" operator="greaterThan">
      <formula>0</formula>
    </cfRule>
  </conditionalFormatting>
  <conditionalFormatting sqref="H25:J25">
    <cfRule type="cellIs" dxfId="870" priority="64" operator="greaterThan">
      <formula>0</formula>
    </cfRule>
  </conditionalFormatting>
  <conditionalFormatting sqref="H44:J44">
    <cfRule type="cellIs" dxfId="869" priority="104" operator="greaterThan">
      <formula>0</formula>
    </cfRule>
  </conditionalFormatting>
  <conditionalFormatting sqref="K24">
    <cfRule type="cellIs" dxfId="868" priority="66" operator="greaterThan">
      <formula>1</formula>
    </cfRule>
  </conditionalFormatting>
  <conditionalFormatting sqref="K24:K25">
    <cfRule type="cellIs" dxfId="867" priority="68" operator="greaterThan">
      <formula>0</formula>
    </cfRule>
  </conditionalFormatting>
  <conditionalFormatting sqref="K43">
    <cfRule type="cellIs" dxfId="866" priority="105" operator="greaterThan">
      <formula>1</formula>
    </cfRule>
    <cfRule type="cellIs" dxfId="865" priority="110" operator="greaterThan">
      <formula>1</formula>
    </cfRule>
  </conditionalFormatting>
  <conditionalFormatting sqref="K43:K44">
    <cfRule type="cellIs" dxfId="864" priority="34" operator="greaterThan">
      <formula>0</formula>
    </cfRule>
    <cfRule type="cellIs" dxfId="863" priority="107" operator="greaterThan">
      <formula>0</formula>
    </cfRule>
    <cfRule type="cellIs" dxfId="862" priority="112" operator="greaterThan">
      <formula>0</formula>
    </cfRule>
  </conditionalFormatting>
  <conditionalFormatting sqref="K46">
    <cfRule type="cellIs" dxfId="861" priority="50" operator="greaterThan">
      <formula>0</formula>
    </cfRule>
  </conditionalFormatting>
  <conditionalFormatting sqref="K47">
    <cfRule type="cellIs" dxfId="860" priority="47" operator="greaterThan">
      <formula>1</formula>
    </cfRule>
  </conditionalFormatting>
  <conditionalFormatting sqref="K47:K48">
    <cfRule type="cellIs" dxfId="859" priority="49" operator="greaterThan">
      <formula>0</formula>
    </cfRule>
  </conditionalFormatting>
  <conditionalFormatting sqref="K23:M23">
    <cfRule type="cellIs" dxfId="858" priority="69" operator="greaterThan">
      <formula>0</formula>
    </cfRule>
  </conditionalFormatting>
  <conditionalFormatting sqref="K25:M25">
    <cfRule type="cellIs" dxfId="857" priority="71" operator="greaterThan">
      <formula>0</formula>
    </cfRule>
  </conditionalFormatting>
  <conditionalFormatting sqref="K44:M44">
    <cfRule type="cellIs" dxfId="856" priority="115" operator="greaterThan">
      <formula>0</formula>
    </cfRule>
  </conditionalFormatting>
  <conditionalFormatting sqref="K47:M47">
    <cfRule type="cellIs" dxfId="855" priority="120" operator="greaterThan">
      <formula>0</formula>
    </cfRule>
  </conditionalFormatting>
  <conditionalFormatting sqref="K47:P47">
    <cfRule type="cellIs" dxfId="854" priority="9" operator="greaterThan">
      <formula>0</formula>
    </cfRule>
  </conditionalFormatting>
  <pageMargins left="0.25" right="0.25" top="0.75" bottom="0.75" header="0.3" footer="0.3"/>
  <pageSetup scale="7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4098-A228-4E6A-85F3-F9A82B3F8280}">
  <sheetPr>
    <outlinePr summaryBelow="0" summaryRight="0"/>
    <pageSetUpPr fitToPage="1"/>
  </sheetPr>
  <dimension ref="A1:AC999"/>
  <sheetViews>
    <sheetView zoomScale="78" zoomScaleNormal="100" workbookViewId="0">
      <selection activeCell="A9" sqref="A9"/>
    </sheetView>
  </sheetViews>
  <sheetFormatPr defaultColWidth="14.44140625" defaultRowHeight="15" customHeight="1" x14ac:dyDescent="0.25"/>
  <cols>
    <col min="1" max="1" width="24" customWidth="1"/>
    <col min="2" max="16" width="5.33203125" customWidth="1"/>
    <col min="17" max="17" width="17.5546875" bestFit="1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41.25" customHeight="1" thickBot="1" x14ac:dyDescent="0.35">
      <c r="A1" s="228" t="s">
        <v>0</v>
      </c>
      <c r="B1" s="229"/>
      <c r="C1" s="230" t="s">
        <v>1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2">
        <v>46235</v>
      </c>
      <c r="Q1" s="231"/>
      <c r="R1" s="231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233" t="s">
        <v>2</v>
      </c>
      <c r="B2" s="215"/>
      <c r="C2" s="225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7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8" thickBot="1" x14ac:dyDescent="0.35">
      <c r="A3" s="247" t="s">
        <v>3</v>
      </c>
      <c r="B3" s="183"/>
      <c r="C3" s="234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6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54" customHeight="1" x14ac:dyDescent="0.25">
      <c r="A4" s="92" t="s">
        <v>4</v>
      </c>
      <c r="B4" s="240"/>
      <c r="C4" s="241"/>
      <c r="D4" s="242"/>
      <c r="E4" s="240"/>
      <c r="F4" s="241"/>
      <c r="G4" s="242"/>
      <c r="H4" s="240"/>
      <c r="I4" s="241"/>
      <c r="J4" s="242"/>
      <c r="K4" s="240"/>
      <c r="L4" s="241"/>
      <c r="M4" s="242"/>
      <c r="N4" s="240"/>
      <c r="O4" s="241"/>
      <c r="P4" s="242"/>
      <c r="Q4" s="243" t="s">
        <v>5</v>
      </c>
      <c r="R4" s="244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93" t="s">
        <v>6</v>
      </c>
      <c r="B5" s="237"/>
      <c r="C5" s="238"/>
      <c r="D5" s="239"/>
      <c r="E5" s="237"/>
      <c r="F5" s="238"/>
      <c r="G5" s="239"/>
      <c r="H5" s="237"/>
      <c r="I5" s="238"/>
      <c r="J5" s="239"/>
      <c r="K5" s="237"/>
      <c r="L5" s="238"/>
      <c r="M5" s="239"/>
      <c r="N5" s="237"/>
      <c r="O5" s="238"/>
      <c r="P5" s="239"/>
      <c r="Q5" s="245"/>
      <c r="R5" s="180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thickBot="1" x14ac:dyDescent="0.3">
      <c r="A6" s="94" t="s">
        <v>7</v>
      </c>
      <c r="B6" s="237"/>
      <c r="C6" s="238"/>
      <c r="D6" s="239"/>
      <c r="E6" s="237"/>
      <c r="F6" s="238"/>
      <c r="G6" s="239"/>
      <c r="H6" s="237"/>
      <c r="I6" s="238"/>
      <c r="J6" s="239"/>
      <c r="K6" s="237"/>
      <c r="L6" s="238"/>
      <c r="M6" s="239"/>
      <c r="N6" s="237"/>
      <c r="O6" s="238"/>
      <c r="P6" s="239"/>
      <c r="Q6" s="245"/>
      <c r="R6" s="180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thickBot="1" x14ac:dyDescent="0.3">
      <c r="A7" s="153"/>
      <c r="B7" s="95" t="s">
        <v>8</v>
      </c>
      <c r="C7" s="96" t="s">
        <v>9</v>
      </c>
      <c r="D7" s="97" t="s">
        <v>10</v>
      </c>
      <c r="E7" s="95" t="s">
        <v>8</v>
      </c>
      <c r="F7" s="96" t="s">
        <v>9</v>
      </c>
      <c r="G7" s="97" t="s">
        <v>10</v>
      </c>
      <c r="H7" s="95" t="s">
        <v>8</v>
      </c>
      <c r="I7" s="96" t="s">
        <v>9</v>
      </c>
      <c r="J7" s="97" t="s">
        <v>10</v>
      </c>
      <c r="K7" s="95" t="s">
        <v>8</v>
      </c>
      <c r="L7" s="96" t="s">
        <v>9</v>
      </c>
      <c r="M7" s="97" t="s">
        <v>10</v>
      </c>
      <c r="N7" s="95" t="s">
        <v>8</v>
      </c>
      <c r="O7" s="96" t="s">
        <v>9</v>
      </c>
      <c r="P7" s="97" t="s">
        <v>10</v>
      </c>
      <c r="Q7" s="246"/>
      <c r="R7" s="188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8" x14ac:dyDescent="0.25">
      <c r="A8" s="98">
        <v>46235</v>
      </c>
      <c r="B8" s="140"/>
      <c r="C8" s="141"/>
      <c r="D8" s="142"/>
      <c r="E8" s="143"/>
      <c r="F8" s="141"/>
      <c r="G8" s="142"/>
      <c r="H8" s="143"/>
      <c r="I8" s="141"/>
      <c r="J8" s="142"/>
      <c r="K8" s="143"/>
      <c r="L8" s="141"/>
      <c r="M8" s="142"/>
      <c r="N8" s="143"/>
      <c r="O8" s="141"/>
      <c r="P8" s="142"/>
      <c r="Q8" s="248"/>
      <c r="R8" s="20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8" x14ac:dyDescent="0.25">
      <c r="A9" s="99">
        <f t="shared" ref="A9:A22" si="0">A8+1</f>
        <v>46236</v>
      </c>
      <c r="B9" s="133"/>
      <c r="C9" s="134"/>
      <c r="D9" s="135"/>
      <c r="E9" s="136"/>
      <c r="F9" s="134"/>
      <c r="G9" s="135"/>
      <c r="H9" s="136"/>
      <c r="I9" s="134"/>
      <c r="J9" s="135"/>
      <c r="K9" s="136"/>
      <c r="L9" s="134"/>
      <c r="M9" s="135"/>
      <c r="N9" s="136"/>
      <c r="O9" s="134"/>
      <c r="P9" s="135"/>
      <c r="Q9" s="224"/>
      <c r="R9" s="191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3.8" x14ac:dyDescent="0.25">
      <c r="A10" s="100">
        <f t="shared" si="0"/>
        <v>46237</v>
      </c>
      <c r="B10" s="140"/>
      <c r="C10" s="137"/>
      <c r="D10" s="138"/>
      <c r="E10" s="139"/>
      <c r="F10" s="137"/>
      <c r="G10" s="138"/>
      <c r="H10" s="139"/>
      <c r="I10" s="137"/>
      <c r="J10" s="138"/>
      <c r="K10" s="139"/>
      <c r="L10" s="137"/>
      <c r="M10" s="138"/>
      <c r="N10" s="139"/>
      <c r="O10" s="137"/>
      <c r="P10" s="138"/>
      <c r="Q10" s="204"/>
      <c r="R10" s="191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8" x14ac:dyDescent="0.25">
      <c r="A11" s="100">
        <f t="shared" si="0"/>
        <v>46238</v>
      </c>
      <c r="B11" s="140"/>
      <c r="C11" s="137"/>
      <c r="D11" s="138"/>
      <c r="E11" s="139"/>
      <c r="F11" s="137"/>
      <c r="G11" s="138"/>
      <c r="H11" s="139"/>
      <c r="I11" s="137"/>
      <c r="J11" s="138"/>
      <c r="K11" s="139"/>
      <c r="L11" s="137"/>
      <c r="M11" s="138"/>
      <c r="N11" s="139"/>
      <c r="O11" s="137"/>
      <c r="P11" s="138"/>
      <c r="Q11" s="204"/>
      <c r="R11" s="191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8" x14ac:dyDescent="0.25">
      <c r="A12" s="100">
        <f t="shared" si="0"/>
        <v>46239</v>
      </c>
      <c r="B12" s="140"/>
      <c r="C12" s="137"/>
      <c r="D12" s="138"/>
      <c r="E12" s="139"/>
      <c r="F12" s="137"/>
      <c r="G12" s="138"/>
      <c r="H12" s="139"/>
      <c r="I12" s="137"/>
      <c r="J12" s="138"/>
      <c r="K12" s="139"/>
      <c r="L12" s="137"/>
      <c r="M12" s="138"/>
      <c r="N12" s="139"/>
      <c r="O12" s="137"/>
      <c r="P12" s="138"/>
      <c r="Q12" s="204"/>
      <c r="R12" s="191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8" x14ac:dyDescent="0.25">
      <c r="A13" s="100">
        <f t="shared" si="0"/>
        <v>46240</v>
      </c>
      <c r="B13" s="140"/>
      <c r="C13" s="137"/>
      <c r="D13" s="138"/>
      <c r="E13" s="139"/>
      <c r="F13" s="137"/>
      <c r="G13" s="138"/>
      <c r="H13" s="139"/>
      <c r="I13" s="137"/>
      <c r="J13" s="138"/>
      <c r="K13" s="139"/>
      <c r="L13" s="137"/>
      <c r="M13" s="138"/>
      <c r="N13" s="139"/>
      <c r="O13" s="137"/>
      <c r="P13" s="138"/>
      <c r="Q13" s="204"/>
      <c r="R13" s="191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8" x14ac:dyDescent="0.25">
      <c r="A14" s="100">
        <f t="shared" si="0"/>
        <v>46241</v>
      </c>
      <c r="B14" s="140"/>
      <c r="C14" s="137"/>
      <c r="D14" s="138"/>
      <c r="E14" s="139"/>
      <c r="F14" s="137"/>
      <c r="G14" s="138"/>
      <c r="H14" s="139"/>
      <c r="I14" s="137"/>
      <c r="J14" s="138"/>
      <c r="K14" s="139"/>
      <c r="L14" s="137"/>
      <c r="M14" s="138"/>
      <c r="N14" s="139"/>
      <c r="O14" s="137"/>
      <c r="P14" s="138"/>
      <c r="Q14" s="204"/>
      <c r="R14" s="191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8" x14ac:dyDescent="0.25">
      <c r="A15" s="100">
        <f t="shared" si="0"/>
        <v>46242</v>
      </c>
      <c r="B15" s="140"/>
      <c r="C15" s="137"/>
      <c r="D15" s="138"/>
      <c r="E15" s="139"/>
      <c r="F15" s="137"/>
      <c r="G15" s="138"/>
      <c r="H15" s="139"/>
      <c r="I15" s="137"/>
      <c r="J15" s="138"/>
      <c r="K15" s="139"/>
      <c r="L15" s="137"/>
      <c r="M15" s="138"/>
      <c r="N15" s="139"/>
      <c r="O15" s="137"/>
      <c r="P15" s="138"/>
      <c r="Q15" s="205"/>
      <c r="R15" s="191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8" x14ac:dyDescent="0.25">
      <c r="A16" s="100">
        <f t="shared" si="0"/>
        <v>46243</v>
      </c>
      <c r="B16" s="140"/>
      <c r="C16" s="137"/>
      <c r="D16" s="138"/>
      <c r="E16" s="139"/>
      <c r="F16" s="137"/>
      <c r="G16" s="138"/>
      <c r="H16" s="139"/>
      <c r="I16" s="137"/>
      <c r="J16" s="138"/>
      <c r="K16" s="139"/>
      <c r="L16" s="137"/>
      <c r="M16" s="138"/>
      <c r="N16" s="139"/>
      <c r="O16" s="137"/>
      <c r="P16" s="138"/>
      <c r="Q16" s="204"/>
      <c r="R16" s="191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4.4" x14ac:dyDescent="0.3">
      <c r="A17" s="100">
        <f t="shared" si="0"/>
        <v>46244</v>
      </c>
      <c r="B17" s="140"/>
      <c r="C17" s="137"/>
      <c r="D17" s="138"/>
      <c r="E17" s="139"/>
      <c r="F17" s="137"/>
      <c r="G17" s="138"/>
      <c r="H17" s="139"/>
      <c r="I17" s="137"/>
      <c r="J17" s="138"/>
      <c r="K17" s="139"/>
      <c r="L17" s="137"/>
      <c r="M17" s="138"/>
      <c r="N17" s="139"/>
      <c r="O17" s="137"/>
      <c r="P17" s="138"/>
      <c r="Q17" s="204"/>
      <c r="R17" s="191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4.4" x14ac:dyDescent="0.3">
      <c r="A18" s="100">
        <f t="shared" si="0"/>
        <v>46245</v>
      </c>
      <c r="B18" s="140"/>
      <c r="C18" s="137"/>
      <c r="D18" s="138"/>
      <c r="E18" s="139"/>
      <c r="F18" s="137"/>
      <c r="G18" s="138"/>
      <c r="H18" s="139"/>
      <c r="I18" s="137"/>
      <c r="J18" s="138"/>
      <c r="K18" s="139"/>
      <c r="L18" s="137"/>
      <c r="M18" s="138"/>
      <c r="N18" s="139"/>
      <c r="O18" s="137"/>
      <c r="P18" s="138"/>
      <c r="Q18" s="205"/>
      <c r="R18" s="191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4.4" x14ac:dyDescent="0.3">
      <c r="A19" s="100">
        <f t="shared" si="0"/>
        <v>46246</v>
      </c>
      <c r="B19" s="140"/>
      <c r="C19" s="137"/>
      <c r="D19" s="138"/>
      <c r="E19" s="139"/>
      <c r="F19" s="137"/>
      <c r="G19" s="138"/>
      <c r="H19" s="139"/>
      <c r="I19" s="137"/>
      <c r="J19" s="138"/>
      <c r="K19" s="139"/>
      <c r="L19" s="137"/>
      <c r="M19" s="138"/>
      <c r="N19" s="139"/>
      <c r="O19" s="137"/>
      <c r="P19" s="138"/>
      <c r="Q19" s="204"/>
      <c r="R19" s="191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4.4" x14ac:dyDescent="0.3">
      <c r="A20" s="100">
        <f t="shared" si="0"/>
        <v>46247</v>
      </c>
      <c r="B20" s="140"/>
      <c r="C20" s="137"/>
      <c r="D20" s="138"/>
      <c r="E20" s="139"/>
      <c r="F20" s="137"/>
      <c r="G20" s="138"/>
      <c r="H20" s="139"/>
      <c r="I20" s="137"/>
      <c r="J20" s="138"/>
      <c r="K20" s="139"/>
      <c r="L20" s="137"/>
      <c r="M20" s="138"/>
      <c r="N20" s="139"/>
      <c r="O20" s="137"/>
      <c r="P20" s="138"/>
      <c r="Q20" s="221"/>
      <c r="R20" s="220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100">
        <f t="shared" si="0"/>
        <v>46248</v>
      </c>
      <c r="B21" s="140"/>
      <c r="C21" s="137"/>
      <c r="D21" s="138"/>
      <c r="E21" s="139"/>
      <c r="F21" s="137"/>
      <c r="G21" s="138"/>
      <c r="H21" s="139"/>
      <c r="I21" s="137"/>
      <c r="J21" s="138"/>
      <c r="K21" s="139"/>
      <c r="L21" s="137"/>
      <c r="M21" s="138"/>
      <c r="N21" s="139"/>
      <c r="O21" s="137"/>
      <c r="P21" s="138"/>
      <c r="Q21" s="204"/>
      <c r="R21" s="191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thickBot="1" x14ac:dyDescent="0.35">
      <c r="A22" s="101">
        <f t="shared" si="0"/>
        <v>46249</v>
      </c>
      <c r="B22" s="140"/>
      <c r="C22" s="154"/>
      <c r="D22" s="155"/>
      <c r="E22" s="156"/>
      <c r="F22" s="154"/>
      <c r="G22" s="155"/>
      <c r="H22" s="156"/>
      <c r="I22" s="154"/>
      <c r="J22" s="155"/>
      <c r="K22" s="156"/>
      <c r="L22" s="154"/>
      <c r="M22" s="155"/>
      <c r="N22" s="156"/>
      <c r="O22" s="154"/>
      <c r="P22" s="155"/>
      <c r="Q22" s="212"/>
      <c r="R22" s="213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102" t="s">
        <v>17</v>
      </c>
      <c r="B23" s="214">
        <f>SUM(B8:B22)</f>
        <v>0</v>
      </c>
      <c r="C23" s="207"/>
      <c r="D23" s="208"/>
      <c r="E23" s="214">
        <f>SUM(E8:E22)</f>
        <v>0</v>
      </c>
      <c r="F23" s="207"/>
      <c r="G23" s="208"/>
      <c r="H23" s="214">
        <f>SUM(H8:H22)</f>
        <v>0</v>
      </c>
      <c r="I23" s="207"/>
      <c r="J23" s="208"/>
      <c r="K23" s="214">
        <f>SUM(K8:K22)</f>
        <v>0</v>
      </c>
      <c r="L23" s="207"/>
      <c r="M23" s="208"/>
      <c r="N23" s="214">
        <f>SUM(N8:N22)</f>
        <v>0</v>
      </c>
      <c r="O23" s="207"/>
      <c r="P23" s="208"/>
      <c r="Q23" s="103" t="s">
        <v>18</v>
      </c>
      <c r="R23" s="104">
        <f t="shared" ref="R23:R25" si="1">SUM(B23:P23)</f>
        <v>0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25">
      <c r="A24" s="105" t="s">
        <v>20</v>
      </c>
      <c r="B24" s="192">
        <f>SUM(C8:C23)</f>
        <v>0</v>
      </c>
      <c r="C24" s="190"/>
      <c r="D24" s="191"/>
      <c r="E24" s="192">
        <f>SUM(F8:F23)</f>
        <v>0</v>
      </c>
      <c r="F24" s="190"/>
      <c r="G24" s="191"/>
      <c r="H24" s="192">
        <f>SUM(I8:I23)</f>
        <v>0</v>
      </c>
      <c r="I24" s="190"/>
      <c r="J24" s="191"/>
      <c r="K24" s="192">
        <f>SUM(L8:L23)</f>
        <v>0</v>
      </c>
      <c r="L24" s="190"/>
      <c r="M24" s="191"/>
      <c r="N24" s="192">
        <f>SUM(O8:O23)</f>
        <v>0</v>
      </c>
      <c r="O24" s="190"/>
      <c r="P24" s="191"/>
      <c r="Q24" s="106" t="s">
        <v>21</v>
      </c>
      <c r="R24" s="107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thickBot="1" x14ac:dyDescent="0.3">
      <c r="A25" s="108" t="s">
        <v>22</v>
      </c>
      <c r="B25" s="181">
        <f>SUM(D8:D22)</f>
        <v>0</v>
      </c>
      <c r="C25" s="182"/>
      <c r="D25" s="185"/>
      <c r="E25" s="181">
        <f>SUM(G8:G22)</f>
        <v>0</v>
      </c>
      <c r="F25" s="182"/>
      <c r="G25" s="185"/>
      <c r="H25" s="181">
        <f>SUM(J8:J22)</f>
        <v>0</v>
      </c>
      <c r="I25" s="182"/>
      <c r="J25" s="185"/>
      <c r="K25" s="181">
        <f>SUM(M8:M22)</f>
        <v>0</v>
      </c>
      <c r="L25" s="182"/>
      <c r="M25" s="185"/>
      <c r="N25" s="181">
        <f>SUM(P8:P22)</f>
        <v>0</v>
      </c>
      <c r="O25" s="182"/>
      <c r="P25" s="185"/>
      <c r="Q25" s="109" t="s">
        <v>23</v>
      </c>
      <c r="R25" s="110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98">
        <f>A22+1</f>
        <v>46250</v>
      </c>
      <c r="B26" s="151"/>
      <c r="C26" s="159"/>
      <c r="D26" s="160"/>
      <c r="E26" s="161"/>
      <c r="F26" s="159"/>
      <c r="G26" s="160"/>
      <c r="H26" s="161"/>
      <c r="I26" s="159"/>
      <c r="J26" s="160"/>
      <c r="K26" s="161"/>
      <c r="L26" s="159"/>
      <c r="M26" s="160"/>
      <c r="N26" s="161"/>
      <c r="O26" s="159"/>
      <c r="P26" s="160"/>
      <c r="Q26" s="255"/>
      <c r="R26" s="211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100">
        <f t="shared" ref="A27:A41" si="2">A26+1</f>
        <v>46251</v>
      </c>
      <c r="B27" s="151"/>
      <c r="C27" s="137"/>
      <c r="D27" s="138"/>
      <c r="E27" s="139"/>
      <c r="F27" s="137"/>
      <c r="G27" s="138"/>
      <c r="H27" s="139"/>
      <c r="I27" s="137"/>
      <c r="J27" s="138"/>
      <c r="K27" s="139"/>
      <c r="L27" s="137"/>
      <c r="M27" s="138"/>
      <c r="N27" s="139"/>
      <c r="O27" s="137"/>
      <c r="P27" s="138"/>
      <c r="Q27" s="219"/>
      <c r="R27" s="220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100">
        <f t="shared" si="2"/>
        <v>46252</v>
      </c>
      <c r="B28" s="151"/>
      <c r="C28" s="137"/>
      <c r="D28" s="138"/>
      <c r="E28" s="139"/>
      <c r="F28" s="137"/>
      <c r="G28" s="138"/>
      <c r="H28" s="139"/>
      <c r="I28" s="137"/>
      <c r="J28" s="138"/>
      <c r="K28" s="139"/>
      <c r="L28" s="137"/>
      <c r="M28" s="138"/>
      <c r="N28" s="139"/>
      <c r="O28" s="137"/>
      <c r="P28" s="138"/>
      <c r="Q28" s="204"/>
      <c r="R28" s="191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100">
        <f t="shared" si="2"/>
        <v>46253</v>
      </c>
      <c r="B29" s="151"/>
      <c r="C29" s="137"/>
      <c r="D29" s="138"/>
      <c r="E29" s="139"/>
      <c r="F29" s="137"/>
      <c r="G29" s="138"/>
      <c r="H29" s="139"/>
      <c r="I29" s="137"/>
      <c r="J29" s="138"/>
      <c r="K29" s="139"/>
      <c r="L29" s="137"/>
      <c r="M29" s="138"/>
      <c r="N29" s="139"/>
      <c r="O29" s="137"/>
      <c r="P29" s="138"/>
      <c r="Q29" s="204"/>
      <c r="R29" s="191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100">
        <f t="shared" si="2"/>
        <v>46254</v>
      </c>
      <c r="B30" s="151"/>
      <c r="C30" s="137"/>
      <c r="D30" s="138"/>
      <c r="E30" s="139"/>
      <c r="F30" s="137"/>
      <c r="G30" s="138"/>
      <c r="H30" s="139"/>
      <c r="I30" s="137"/>
      <c r="J30" s="138"/>
      <c r="K30" s="139"/>
      <c r="L30" s="137"/>
      <c r="M30" s="138"/>
      <c r="N30" s="139"/>
      <c r="O30" s="137"/>
      <c r="P30" s="138"/>
      <c r="Q30" s="204"/>
      <c r="R30" s="191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100">
        <f t="shared" si="2"/>
        <v>46255</v>
      </c>
      <c r="B31" s="151"/>
      <c r="C31" s="137"/>
      <c r="D31" s="138"/>
      <c r="E31" s="139"/>
      <c r="F31" s="137"/>
      <c r="G31" s="138"/>
      <c r="H31" s="139"/>
      <c r="I31" s="137"/>
      <c r="J31" s="138"/>
      <c r="K31" s="139"/>
      <c r="L31" s="137"/>
      <c r="M31" s="138"/>
      <c r="N31" s="139"/>
      <c r="O31" s="137"/>
      <c r="P31" s="138"/>
      <c r="Q31" s="221"/>
      <c r="R31" s="191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100">
        <f t="shared" si="2"/>
        <v>46256</v>
      </c>
      <c r="B32" s="151"/>
      <c r="C32" s="137"/>
      <c r="D32" s="138"/>
      <c r="E32" s="139"/>
      <c r="F32" s="137"/>
      <c r="G32" s="138"/>
      <c r="H32" s="139"/>
      <c r="I32" s="137"/>
      <c r="J32" s="138"/>
      <c r="K32" s="139"/>
      <c r="L32" s="137"/>
      <c r="M32" s="138"/>
      <c r="N32" s="139"/>
      <c r="O32" s="137"/>
      <c r="P32" s="138"/>
      <c r="Q32" s="204"/>
      <c r="R32" s="191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100">
        <f t="shared" si="2"/>
        <v>46257</v>
      </c>
      <c r="B33" s="151"/>
      <c r="C33" s="137"/>
      <c r="D33" s="138"/>
      <c r="E33" s="139"/>
      <c r="F33" s="137"/>
      <c r="G33" s="138"/>
      <c r="H33" s="139"/>
      <c r="I33" s="137"/>
      <c r="J33" s="138"/>
      <c r="K33" s="139"/>
      <c r="L33" s="137"/>
      <c r="M33" s="138"/>
      <c r="N33" s="139"/>
      <c r="O33" s="137"/>
      <c r="P33" s="138"/>
      <c r="Q33" s="205"/>
      <c r="R33" s="191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100">
        <f t="shared" si="2"/>
        <v>46258</v>
      </c>
      <c r="B34" s="151"/>
      <c r="C34" s="137"/>
      <c r="D34" s="138"/>
      <c r="E34" s="139"/>
      <c r="F34" s="137"/>
      <c r="G34" s="138"/>
      <c r="H34" s="139"/>
      <c r="I34" s="137"/>
      <c r="J34" s="138"/>
      <c r="K34" s="139"/>
      <c r="L34" s="137"/>
      <c r="M34" s="138"/>
      <c r="N34" s="139"/>
      <c r="O34" s="137"/>
      <c r="P34" s="138"/>
      <c r="Q34" s="204"/>
      <c r="R34" s="191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100">
        <f t="shared" si="2"/>
        <v>46259</v>
      </c>
      <c r="B35" s="151"/>
      <c r="C35" s="137"/>
      <c r="D35" s="138"/>
      <c r="E35" s="139"/>
      <c r="F35" s="137"/>
      <c r="G35" s="138"/>
      <c r="H35" s="139"/>
      <c r="I35" s="137"/>
      <c r="J35" s="138"/>
      <c r="K35" s="139"/>
      <c r="L35" s="137"/>
      <c r="M35" s="138"/>
      <c r="N35" s="139"/>
      <c r="O35" s="137"/>
      <c r="P35" s="138"/>
      <c r="Q35" s="204"/>
      <c r="R35" s="191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100">
        <f t="shared" si="2"/>
        <v>46260</v>
      </c>
      <c r="B36" s="151"/>
      <c r="C36" s="137"/>
      <c r="D36" s="138"/>
      <c r="E36" s="139"/>
      <c r="F36" s="137"/>
      <c r="G36" s="138"/>
      <c r="H36" s="139"/>
      <c r="I36" s="137"/>
      <c r="J36" s="138"/>
      <c r="K36" s="139"/>
      <c r="L36" s="137"/>
      <c r="M36" s="138"/>
      <c r="N36" s="139"/>
      <c r="O36" s="137"/>
      <c r="P36" s="138"/>
      <c r="Q36" s="205"/>
      <c r="R36" s="191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100">
        <f t="shared" si="2"/>
        <v>46261</v>
      </c>
      <c r="B37" s="151"/>
      <c r="C37" s="137"/>
      <c r="D37" s="138"/>
      <c r="E37" s="139"/>
      <c r="F37" s="137"/>
      <c r="G37" s="138"/>
      <c r="H37" s="139"/>
      <c r="I37" s="137"/>
      <c r="J37" s="138"/>
      <c r="K37" s="139"/>
      <c r="L37" s="137"/>
      <c r="M37" s="138"/>
      <c r="N37" s="139"/>
      <c r="O37" s="137"/>
      <c r="P37" s="138"/>
      <c r="Q37" s="204"/>
      <c r="R37" s="191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100">
        <f t="shared" si="2"/>
        <v>46262</v>
      </c>
      <c r="B38" s="151"/>
      <c r="C38" s="137"/>
      <c r="D38" s="138"/>
      <c r="E38" s="139"/>
      <c r="F38" s="137"/>
      <c r="G38" s="138"/>
      <c r="H38" s="139"/>
      <c r="I38" s="137"/>
      <c r="J38" s="138"/>
      <c r="K38" s="139"/>
      <c r="L38" s="137"/>
      <c r="M38" s="138"/>
      <c r="N38" s="139"/>
      <c r="O38" s="137"/>
      <c r="P38" s="138"/>
      <c r="Q38" s="204"/>
      <c r="R38" s="191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100">
        <f t="shared" si="2"/>
        <v>46263</v>
      </c>
      <c r="B39" s="151"/>
      <c r="C39" s="137"/>
      <c r="D39" s="138"/>
      <c r="E39" s="139"/>
      <c r="F39" s="137"/>
      <c r="G39" s="138"/>
      <c r="H39" s="139"/>
      <c r="I39" s="137"/>
      <c r="J39" s="138"/>
      <c r="K39" s="139"/>
      <c r="L39" s="137"/>
      <c r="M39" s="138"/>
      <c r="N39" s="139"/>
      <c r="O39" s="137"/>
      <c r="P39" s="138"/>
      <c r="Q39" s="204"/>
      <c r="R39" s="191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x14ac:dyDescent="0.25">
      <c r="A40" s="100">
        <f t="shared" si="2"/>
        <v>46264</v>
      </c>
      <c r="B40" s="151"/>
      <c r="C40" s="137"/>
      <c r="D40" s="138"/>
      <c r="E40" s="139"/>
      <c r="F40" s="137"/>
      <c r="G40" s="138"/>
      <c r="H40" s="139"/>
      <c r="I40" s="137"/>
      <c r="J40" s="138"/>
      <c r="K40" s="139"/>
      <c r="L40" s="137"/>
      <c r="M40" s="138"/>
      <c r="N40" s="139"/>
      <c r="O40" s="137"/>
      <c r="P40" s="138"/>
      <c r="Q40" s="148"/>
      <c r="R40" s="147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15.75" customHeight="1" thickBot="1" x14ac:dyDescent="0.3">
      <c r="A41" s="100">
        <f t="shared" si="2"/>
        <v>46265</v>
      </c>
      <c r="B41" s="151"/>
      <c r="C41" s="137"/>
      <c r="D41" s="138"/>
      <c r="E41" s="139"/>
      <c r="F41" s="137"/>
      <c r="G41" s="138"/>
      <c r="H41" s="139"/>
      <c r="I41" s="137"/>
      <c r="J41" s="138"/>
      <c r="K41" s="139"/>
      <c r="L41" s="137"/>
      <c r="M41" s="138"/>
      <c r="N41" s="139"/>
      <c r="O41" s="137"/>
      <c r="P41" s="138"/>
      <c r="Q41" s="204"/>
      <c r="R41" s="191"/>
      <c r="S41" s="6"/>
      <c r="T41" s="6"/>
      <c r="U41" s="38"/>
      <c r="V41" s="38"/>
      <c r="W41" s="6"/>
      <c r="X41" s="6"/>
      <c r="Y41" s="6"/>
      <c r="Z41" s="6"/>
      <c r="AA41" s="6"/>
      <c r="AB41" s="6"/>
      <c r="AC41" s="6"/>
    </row>
    <row r="42" spans="1:29" ht="15.75" customHeight="1" x14ac:dyDescent="0.25">
      <c r="A42" s="111" t="s">
        <v>24</v>
      </c>
      <c r="B42" s="206">
        <f>SUM(B26:B41)</f>
        <v>0</v>
      </c>
      <c r="C42" s="207"/>
      <c r="D42" s="208"/>
      <c r="E42" s="214">
        <f>SUM(E26:E41)</f>
        <v>0</v>
      </c>
      <c r="F42" s="207"/>
      <c r="G42" s="215"/>
      <c r="H42" s="206">
        <f>SUM(H26:H41)</f>
        <v>0</v>
      </c>
      <c r="I42" s="207"/>
      <c r="J42" s="208"/>
      <c r="K42" s="214">
        <f>SUM(K26:K41)</f>
        <v>0</v>
      </c>
      <c r="L42" s="207"/>
      <c r="M42" s="215"/>
      <c r="N42" s="214">
        <f>SUM(N26:N41)</f>
        <v>0</v>
      </c>
      <c r="O42" s="207"/>
      <c r="P42" s="215"/>
      <c r="Q42" s="103" t="s">
        <v>18</v>
      </c>
      <c r="R42" s="112">
        <f t="shared" ref="R42:R44" si="3">SUM(B42:P42)</f>
        <v>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x14ac:dyDescent="0.25">
      <c r="A43" s="113" t="s">
        <v>25</v>
      </c>
      <c r="B43" s="189">
        <f>SUM(C26:C42)</f>
        <v>0</v>
      </c>
      <c r="C43" s="190"/>
      <c r="D43" s="191"/>
      <c r="E43" s="192">
        <f>SUM(F26:F42)</f>
        <v>0</v>
      </c>
      <c r="F43" s="190"/>
      <c r="G43" s="216"/>
      <c r="H43" s="189">
        <f>SUM(I26:I42)</f>
        <v>0</v>
      </c>
      <c r="I43" s="190"/>
      <c r="J43" s="191"/>
      <c r="K43" s="192">
        <f>SUM(L26:L42)</f>
        <v>0</v>
      </c>
      <c r="L43" s="190"/>
      <c r="M43" s="216"/>
      <c r="N43" s="192">
        <f>SUM(O26:O42)</f>
        <v>0</v>
      </c>
      <c r="O43" s="190"/>
      <c r="P43" s="216"/>
      <c r="Q43" s="106" t="s">
        <v>26</v>
      </c>
      <c r="R43" s="114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15.75" customHeight="1" thickBot="1" x14ac:dyDescent="0.3">
      <c r="A44" s="115" t="s">
        <v>27</v>
      </c>
      <c r="B44" s="184">
        <f>SUM(D26:D41)</f>
        <v>0</v>
      </c>
      <c r="C44" s="182"/>
      <c r="D44" s="185"/>
      <c r="E44" s="181">
        <f>SUM(G26:G41)</f>
        <v>0</v>
      </c>
      <c r="F44" s="182"/>
      <c r="G44" s="183"/>
      <c r="H44" s="184">
        <f>SUM(J26:J41)</f>
        <v>0</v>
      </c>
      <c r="I44" s="182"/>
      <c r="J44" s="185"/>
      <c r="K44" s="181">
        <f>SUM(M26:M41)</f>
        <v>0</v>
      </c>
      <c r="L44" s="182"/>
      <c r="M44" s="183"/>
      <c r="N44" s="181">
        <f>SUM(P26:P41)</f>
        <v>0</v>
      </c>
      <c r="O44" s="182"/>
      <c r="P44" s="183"/>
      <c r="Q44" s="109" t="s">
        <v>23</v>
      </c>
      <c r="R44" s="116">
        <f t="shared" si="3"/>
        <v>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21" hidden="1" customHeight="1" x14ac:dyDescent="0.25">
      <c r="A45" s="157"/>
      <c r="B45" s="186" t="str">
        <f>IF(ISBLANK(B6),"",B6)</f>
        <v/>
      </c>
      <c r="C45" s="187"/>
      <c r="D45" s="188"/>
      <c r="E45" s="186" t="str">
        <f>IF(ISBLANK(E6),"",E6)</f>
        <v/>
      </c>
      <c r="F45" s="187"/>
      <c r="G45" s="188"/>
      <c r="H45" s="186" t="str">
        <f>IF(ISBLANK(H6),"",H6)</f>
        <v/>
      </c>
      <c r="I45" s="187"/>
      <c r="J45" s="188"/>
      <c r="K45" s="186" t="str">
        <f>IF(ISBLANK(K6),"",K6)</f>
        <v/>
      </c>
      <c r="L45" s="187"/>
      <c r="M45" s="188"/>
      <c r="N45" s="186" t="str">
        <f>IF(ISBLANK(N6),"",N6)</f>
        <v/>
      </c>
      <c r="O45" s="187"/>
      <c r="P45" s="188"/>
      <c r="Q45" s="179"/>
      <c r="R45" s="180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25">
      <c r="A46" s="117" t="s">
        <v>28</v>
      </c>
      <c r="B46" s="206">
        <f>B23+B42</f>
        <v>0</v>
      </c>
      <c r="C46" s="207"/>
      <c r="D46" s="208"/>
      <c r="E46" s="209">
        <f>E23+E42</f>
        <v>0</v>
      </c>
      <c r="F46" s="210"/>
      <c r="G46" s="211"/>
      <c r="H46" s="209">
        <f>H23+H42</f>
        <v>0</v>
      </c>
      <c r="I46" s="210"/>
      <c r="J46" s="211"/>
      <c r="K46" s="209">
        <f>K23+K42</f>
        <v>0</v>
      </c>
      <c r="L46" s="210"/>
      <c r="M46" s="211"/>
      <c r="N46" s="209">
        <f>N23+N42</f>
        <v>0</v>
      </c>
      <c r="O46" s="210"/>
      <c r="P46" s="211"/>
      <c r="Q46" s="103" t="s">
        <v>18</v>
      </c>
      <c r="R46" s="112">
        <f t="shared" ref="R46:R48" si="4">SUM(B46:P46)</f>
        <v>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x14ac:dyDescent="0.25">
      <c r="A47" s="105" t="s">
        <v>29</v>
      </c>
      <c r="B47" s="192">
        <f>B24+B43</f>
        <v>0</v>
      </c>
      <c r="C47" s="190"/>
      <c r="D47" s="191"/>
      <c r="E47" s="189">
        <f>E24+E43</f>
        <v>0</v>
      </c>
      <c r="F47" s="190"/>
      <c r="G47" s="191"/>
      <c r="H47" s="189">
        <f>H24+H43</f>
        <v>0</v>
      </c>
      <c r="I47" s="190"/>
      <c r="J47" s="191"/>
      <c r="K47" s="189">
        <f>K24+K43</f>
        <v>0</v>
      </c>
      <c r="L47" s="190"/>
      <c r="M47" s="191"/>
      <c r="N47" s="189">
        <f>N24+N43</f>
        <v>0</v>
      </c>
      <c r="O47" s="190"/>
      <c r="P47" s="191"/>
      <c r="Q47" s="106" t="s">
        <v>26</v>
      </c>
      <c r="R47" s="114">
        <f t="shared" si="4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15.75" customHeight="1" thickBot="1" x14ac:dyDescent="0.3">
      <c r="A48" s="118" t="s">
        <v>30</v>
      </c>
      <c r="B48" s="181">
        <f>B25+B44</f>
        <v>0</v>
      </c>
      <c r="C48" s="182"/>
      <c r="D48" s="185"/>
      <c r="E48" s="184">
        <f>E25+E44</f>
        <v>0</v>
      </c>
      <c r="F48" s="182"/>
      <c r="G48" s="185"/>
      <c r="H48" s="184">
        <f>H25+H44</f>
        <v>0</v>
      </c>
      <c r="I48" s="182"/>
      <c r="J48" s="185"/>
      <c r="K48" s="184">
        <f>K25+K44</f>
        <v>0</v>
      </c>
      <c r="L48" s="182"/>
      <c r="M48" s="185"/>
      <c r="N48" s="184">
        <f>N25+N44</f>
        <v>0</v>
      </c>
      <c r="O48" s="182"/>
      <c r="P48" s="185"/>
      <c r="Q48" s="109" t="s">
        <v>23</v>
      </c>
      <c r="R48" s="116">
        <f t="shared" si="4"/>
        <v>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7.5" hidden="1" customHeight="1" x14ac:dyDescent="0.25">
      <c r="A49" s="119"/>
      <c r="B49" s="186" t="str">
        <f>IF(ISBLANK(B10),"",B10)</f>
        <v/>
      </c>
      <c r="C49" s="187"/>
      <c r="D49" s="188"/>
      <c r="E49" s="186" t="str">
        <f>IF(ISBLANK(E10),"",E10)</f>
        <v/>
      </c>
      <c r="F49" s="187"/>
      <c r="G49" s="188"/>
      <c r="H49" s="186" t="str">
        <f>IF(ISBLANK(H10),"",H10)</f>
        <v/>
      </c>
      <c r="I49" s="187"/>
      <c r="J49" s="188"/>
      <c r="K49" s="186" t="str">
        <f>IF(ISBLANK(K10),"",K10)</f>
        <v/>
      </c>
      <c r="L49" s="187"/>
      <c r="M49" s="188"/>
      <c r="N49" s="186" t="str">
        <f>IF(ISBLANK(N10),"",N10)</f>
        <v/>
      </c>
      <c r="O49" s="187"/>
      <c r="P49" s="188"/>
      <c r="Q49" s="179"/>
      <c r="R49" s="180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thickBot="1" x14ac:dyDescent="0.3">
      <c r="A50" s="158" t="s">
        <v>31</v>
      </c>
      <c r="B50" s="203">
        <f>SUM(B46:D48)</f>
        <v>0</v>
      </c>
      <c r="C50" s="187"/>
      <c r="D50" s="188"/>
      <c r="E50" s="198">
        <f>SUM(E46:G48)</f>
        <v>0</v>
      </c>
      <c r="F50" s="196"/>
      <c r="G50" s="197"/>
      <c r="H50" s="198">
        <f>SUM(H46:J48)</f>
        <v>0</v>
      </c>
      <c r="I50" s="196"/>
      <c r="J50" s="197"/>
      <c r="K50" s="198">
        <f>SUM(K46:M48)</f>
        <v>0</v>
      </c>
      <c r="L50" s="196"/>
      <c r="M50" s="197"/>
      <c r="N50" s="198">
        <f>SUM(N46:P48)</f>
        <v>0</v>
      </c>
      <c r="O50" s="196"/>
      <c r="P50" s="197"/>
      <c r="Q50" s="198">
        <f t="shared" ref="Q50:Q51" si="5">SUM(B50:P50)</f>
        <v>0</v>
      </c>
      <c r="R50" s="197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thickBot="1" x14ac:dyDescent="0.3">
      <c r="A51" s="120" t="s">
        <v>32</v>
      </c>
      <c r="B51" s="195">
        <f>(B46+B48)/((NETWORKDAYS($P$1,EOMONTH($P$1,0), HO))*8)</f>
        <v>0</v>
      </c>
      <c r="C51" s="196"/>
      <c r="D51" s="197"/>
      <c r="E51" s="195">
        <f>(E46+E48)/((NETWORKDAYS($P$1,EOMONTH($P$1,0), HO))*8)</f>
        <v>0</v>
      </c>
      <c r="F51" s="196"/>
      <c r="G51" s="197"/>
      <c r="H51" s="195">
        <f>(H46+H48)/((NETWORKDAYS($P$1,EOMONTH($P$1,0), HO))*8)</f>
        <v>0</v>
      </c>
      <c r="I51" s="196"/>
      <c r="J51" s="197"/>
      <c r="K51" s="195">
        <f>(K46+K48)/((NETWORKDAYS($P$1,EOMONTH($P$1,0), HO))*8)</f>
        <v>0</v>
      </c>
      <c r="L51" s="196"/>
      <c r="M51" s="197"/>
      <c r="N51" s="195">
        <f>(N46+N48)/((NETWORKDAYS($P$1,EOMONTH($P$1,0), HO))*8)</f>
        <v>0</v>
      </c>
      <c r="O51" s="196"/>
      <c r="P51" s="197"/>
      <c r="Q51" s="195">
        <f t="shared" si="5"/>
        <v>0</v>
      </c>
      <c r="R51" s="197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15.75" customHeight="1" thickBot="1" x14ac:dyDescent="0.3">
      <c r="A52" s="120" t="s">
        <v>33</v>
      </c>
      <c r="B52" s="198">
        <f>R46+R48</f>
        <v>0</v>
      </c>
      <c r="C52" s="196"/>
      <c r="D52" s="197"/>
      <c r="E52" s="195" t="s">
        <v>21</v>
      </c>
      <c r="F52" s="196"/>
      <c r="G52" s="197"/>
      <c r="H52" s="198">
        <f>R47</f>
        <v>0</v>
      </c>
      <c r="I52" s="196"/>
      <c r="J52" s="197"/>
      <c r="K52" s="198">
        <f>R47</f>
        <v>0</v>
      </c>
      <c r="L52" s="196"/>
      <c r="M52" s="197"/>
      <c r="N52" s="195" t="s">
        <v>34</v>
      </c>
      <c r="O52" s="196"/>
      <c r="P52" s="197"/>
      <c r="Q52" s="198">
        <f>B52+H52</f>
        <v>0</v>
      </c>
      <c r="R52" s="197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24.75" customHeight="1" x14ac:dyDescent="0.25">
      <c r="A53" s="199" t="s">
        <v>35</v>
      </c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31.5" customHeight="1" thickBot="1" x14ac:dyDescent="0.3">
      <c r="A54" s="201" t="s">
        <v>36</v>
      </c>
      <c r="B54" s="201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202" t="s">
        <v>37</v>
      </c>
      <c r="P54" s="202"/>
      <c r="Q54" s="152"/>
      <c r="R54" s="152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121"/>
      <c r="B55" s="90"/>
      <c r="C55" s="90"/>
      <c r="D55" s="91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15.75" customHeight="1" x14ac:dyDescent="0.25">
      <c r="A56" s="193" t="s">
        <v>38</v>
      </c>
      <c r="B56" s="194"/>
      <c r="C56" s="125"/>
      <c r="D56" s="126"/>
      <c r="E56" s="38"/>
      <c r="F56" s="127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23.25" customHeight="1" x14ac:dyDescent="0.25">
      <c r="A57" s="193" t="s">
        <v>39</v>
      </c>
      <c r="B57" s="194"/>
      <c r="C57" s="123"/>
      <c r="D57" s="124"/>
      <c r="E57" s="123"/>
      <c r="F57" s="12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122"/>
      <c r="B58" s="38"/>
      <c r="C58" s="38"/>
      <c r="D58" s="52"/>
      <c r="E58" s="38"/>
      <c r="F58" s="127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spans="1:29" ht="15.75" customHeight="1" x14ac:dyDescent="0.25">
      <c r="A257" s="51"/>
      <c r="B257" s="38"/>
      <c r="C257" s="38"/>
      <c r="D257" s="52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spans="1:29" ht="15.75" customHeight="1" x14ac:dyDescent="0.25"/>
    <row r="259" spans="1:29" ht="15.75" customHeight="1" x14ac:dyDescent="0.25"/>
    <row r="260" spans="1:29" ht="15.75" customHeight="1" x14ac:dyDescent="0.25"/>
    <row r="261" spans="1:29" ht="15.75" customHeight="1" x14ac:dyDescent="0.25"/>
    <row r="262" spans="1:29" ht="15.75" customHeight="1" x14ac:dyDescent="0.25"/>
    <row r="263" spans="1:29" ht="15.75" customHeight="1" x14ac:dyDescent="0.25"/>
    <row r="264" spans="1:29" ht="15.75" customHeight="1" x14ac:dyDescent="0.25"/>
    <row r="265" spans="1:29" ht="15.75" customHeight="1" x14ac:dyDescent="0.25"/>
    <row r="266" spans="1:29" ht="15.75" customHeight="1" x14ac:dyDescent="0.25"/>
    <row r="267" spans="1:29" ht="15.75" customHeight="1" x14ac:dyDescent="0.25"/>
    <row r="268" spans="1:29" ht="15.75" customHeight="1" x14ac:dyDescent="0.25"/>
    <row r="269" spans="1:29" ht="15.75" customHeight="1" x14ac:dyDescent="0.25"/>
    <row r="270" spans="1:29" ht="15.75" customHeight="1" x14ac:dyDescent="0.25"/>
    <row r="271" spans="1:29" ht="15.75" customHeight="1" x14ac:dyDescent="0.25"/>
    <row r="272" spans="1:2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33">
    <mergeCell ref="A53:R53"/>
    <mergeCell ref="A54:B54"/>
    <mergeCell ref="O54:P54"/>
    <mergeCell ref="A56:B56"/>
    <mergeCell ref="A57:B57"/>
    <mergeCell ref="B52:D52"/>
    <mergeCell ref="E52:G52"/>
    <mergeCell ref="H52:J52"/>
    <mergeCell ref="K52:M52"/>
    <mergeCell ref="N52:P52"/>
    <mergeCell ref="Q52:R52"/>
    <mergeCell ref="B51:D51"/>
    <mergeCell ref="E51:G51"/>
    <mergeCell ref="H51:J51"/>
    <mergeCell ref="K51:M51"/>
    <mergeCell ref="N51:P51"/>
    <mergeCell ref="Q51:R51"/>
    <mergeCell ref="Q49:R49"/>
    <mergeCell ref="B50:D50"/>
    <mergeCell ref="E50:G50"/>
    <mergeCell ref="H50:J50"/>
    <mergeCell ref="K50:M50"/>
    <mergeCell ref="N50:P50"/>
    <mergeCell ref="Q50:R50"/>
    <mergeCell ref="B48:D48"/>
    <mergeCell ref="E48:G48"/>
    <mergeCell ref="H48:J48"/>
    <mergeCell ref="K48:M48"/>
    <mergeCell ref="N48:P48"/>
    <mergeCell ref="B49:D49"/>
    <mergeCell ref="E49:G49"/>
    <mergeCell ref="H49:J49"/>
    <mergeCell ref="K49:M49"/>
    <mergeCell ref="N49:P49"/>
    <mergeCell ref="B46:D46"/>
    <mergeCell ref="E46:G46"/>
    <mergeCell ref="H46:J46"/>
    <mergeCell ref="K46:M46"/>
    <mergeCell ref="N46:P46"/>
    <mergeCell ref="B47:D47"/>
    <mergeCell ref="E47:G47"/>
    <mergeCell ref="H47:J47"/>
    <mergeCell ref="K47:M47"/>
    <mergeCell ref="N47:P47"/>
    <mergeCell ref="B45:D45"/>
    <mergeCell ref="E45:G45"/>
    <mergeCell ref="H45:J45"/>
    <mergeCell ref="K45:M45"/>
    <mergeCell ref="N45:P45"/>
    <mergeCell ref="Q45:R45"/>
    <mergeCell ref="B43:D43"/>
    <mergeCell ref="E43:G43"/>
    <mergeCell ref="H43:J43"/>
    <mergeCell ref="K43:M43"/>
    <mergeCell ref="N43:P43"/>
    <mergeCell ref="B44:D44"/>
    <mergeCell ref="E44:G44"/>
    <mergeCell ref="H44:J44"/>
    <mergeCell ref="K44:M44"/>
    <mergeCell ref="N44:P44"/>
    <mergeCell ref="Q38:R38"/>
    <mergeCell ref="Q39:R39"/>
    <mergeCell ref="Q41:R41"/>
    <mergeCell ref="B42:D42"/>
    <mergeCell ref="E42:G42"/>
    <mergeCell ref="H42:J42"/>
    <mergeCell ref="K42:M42"/>
    <mergeCell ref="N42:P42"/>
    <mergeCell ref="Q32:R32"/>
    <mergeCell ref="Q33:R33"/>
    <mergeCell ref="Q34:R34"/>
    <mergeCell ref="Q35:R35"/>
    <mergeCell ref="Q36:R36"/>
    <mergeCell ref="Q37:R37"/>
    <mergeCell ref="Q26:R26"/>
    <mergeCell ref="Q27:R27"/>
    <mergeCell ref="Q28:R28"/>
    <mergeCell ref="Q29:R29"/>
    <mergeCell ref="Q30:R30"/>
    <mergeCell ref="Q31:R31"/>
    <mergeCell ref="B24:D24"/>
    <mergeCell ref="E24:G24"/>
    <mergeCell ref="H24:J24"/>
    <mergeCell ref="K24:M24"/>
    <mergeCell ref="N24:P24"/>
    <mergeCell ref="B25:D25"/>
    <mergeCell ref="E25:G25"/>
    <mergeCell ref="H25:J25"/>
    <mergeCell ref="K25:M25"/>
    <mergeCell ref="N25:P25"/>
    <mergeCell ref="Q20:R20"/>
    <mergeCell ref="Q21:R21"/>
    <mergeCell ref="Q22:R22"/>
    <mergeCell ref="B23:D23"/>
    <mergeCell ref="E23:G23"/>
    <mergeCell ref="H23:J23"/>
    <mergeCell ref="K23:M23"/>
    <mergeCell ref="N23:P23"/>
    <mergeCell ref="Q14:R14"/>
    <mergeCell ref="Q15:R15"/>
    <mergeCell ref="Q16:R16"/>
    <mergeCell ref="Q17:R17"/>
    <mergeCell ref="Q18:R18"/>
    <mergeCell ref="Q19:R19"/>
    <mergeCell ref="Q8:R8"/>
    <mergeCell ref="Q9:R9"/>
    <mergeCell ref="Q10:R10"/>
    <mergeCell ref="Q11:R11"/>
    <mergeCell ref="Q12:R12"/>
    <mergeCell ref="Q13:R13"/>
    <mergeCell ref="N5:P5"/>
    <mergeCell ref="B6:D6"/>
    <mergeCell ref="E6:G6"/>
    <mergeCell ref="H6:J6"/>
    <mergeCell ref="K6:M6"/>
    <mergeCell ref="N6:P6"/>
    <mergeCell ref="A1:B1"/>
    <mergeCell ref="C1:O1"/>
    <mergeCell ref="P1:R1"/>
    <mergeCell ref="A2:B2"/>
    <mergeCell ref="C2:R2"/>
    <mergeCell ref="A3:B3"/>
    <mergeCell ref="C3:R3"/>
    <mergeCell ref="B4:D4"/>
    <mergeCell ref="E4:G4"/>
    <mergeCell ref="H4:J4"/>
    <mergeCell ref="K4:M4"/>
    <mergeCell ref="N4:P4"/>
    <mergeCell ref="Q4:R7"/>
    <mergeCell ref="B5:D5"/>
    <mergeCell ref="E5:G5"/>
    <mergeCell ref="H5:J5"/>
    <mergeCell ref="K5:M5"/>
  </mergeCells>
  <conditionalFormatting sqref="B23 K42:N42">
    <cfRule type="cellIs" dxfId="853" priority="7" operator="greaterThan">
      <formula>0</formula>
    </cfRule>
  </conditionalFormatting>
  <conditionalFormatting sqref="B24 K43:N43">
    <cfRule type="cellIs" dxfId="852" priority="4" operator="greaterThan">
      <formula>1</formula>
    </cfRule>
  </conditionalFormatting>
  <conditionalFormatting sqref="B24:B25 K44:N44">
    <cfRule type="cellIs" dxfId="851" priority="6" operator="greaterThan">
      <formula>0</formula>
    </cfRule>
  </conditionalFormatting>
  <conditionalFormatting sqref="B42">
    <cfRule type="cellIs" dxfId="850" priority="20" operator="greaterThan">
      <formula>0</formula>
    </cfRule>
  </conditionalFormatting>
  <conditionalFormatting sqref="B43">
    <cfRule type="cellIs" dxfId="849" priority="77" operator="greaterThan">
      <formula>1</formula>
    </cfRule>
    <cfRule type="cellIs" dxfId="848" priority="17" operator="greaterThan">
      <formula>1</formula>
    </cfRule>
  </conditionalFormatting>
  <conditionalFormatting sqref="B43:B44">
    <cfRule type="cellIs" dxfId="847" priority="19" operator="greaterThan">
      <formula>0</formula>
    </cfRule>
    <cfRule type="cellIs" dxfId="846" priority="79" operator="greaterThan">
      <formula>0</formula>
    </cfRule>
  </conditionalFormatting>
  <conditionalFormatting sqref="B46">
    <cfRule type="cellIs" dxfId="845" priority="14" operator="greaterThan">
      <formula>0</formula>
    </cfRule>
  </conditionalFormatting>
  <conditionalFormatting sqref="B47">
    <cfRule type="cellIs" dxfId="844" priority="11" operator="greaterThan">
      <formula>1</formula>
    </cfRule>
  </conditionalFormatting>
  <conditionalFormatting sqref="B47:B48">
    <cfRule type="cellIs" dxfId="843" priority="13" operator="greaterThan">
      <formula>0</formula>
    </cfRule>
  </conditionalFormatting>
  <conditionalFormatting sqref="B25:D25">
    <cfRule type="cellIs" dxfId="842" priority="52" operator="greaterThan">
      <formula>0</formula>
    </cfRule>
  </conditionalFormatting>
  <conditionalFormatting sqref="B44:D44">
    <cfRule type="cellIs" dxfId="841" priority="82" operator="greaterThan">
      <formula>0</formula>
    </cfRule>
  </conditionalFormatting>
  <conditionalFormatting sqref="B48:M48">
    <cfRule type="cellIs" dxfId="840" priority="119" operator="greaterThan">
      <formula>0</formula>
    </cfRule>
  </conditionalFormatting>
  <conditionalFormatting sqref="B50:M50">
    <cfRule type="cellIs" dxfId="839" priority="16" operator="greaterThan">
      <formula>0</formula>
    </cfRule>
  </conditionalFormatting>
  <conditionalFormatting sqref="B4:P5">
    <cfRule type="containsBlanks" dxfId="838" priority="1">
      <formula>LEN(TRIM(B4))=0</formula>
    </cfRule>
  </conditionalFormatting>
  <conditionalFormatting sqref="B48:P48 R48">
    <cfRule type="cellIs" dxfId="837" priority="10" operator="greaterThan">
      <formula>0</formula>
    </cfRule>
  </conditionalFormatting>
  <conditionalFormatting sqref="C2:R3">
    <cfRule type="containsBlanks" dxfId="836" priority="2">
      <formula>LEN(TRIM(C2))=0</formula>
    </cfRule>
  </conditionalFormatting>
  <conditionalFormatting sqref="E24">
    <cfRule type="cellIs" dxfId="835" priority="53" operator="greaterThan">
      <formula>1</formula>
    </cfRule>
  </conditionalFormatting>
  <conditionalFormatting sqref="E24:E25">
    <cfRule type="cellIs" dxfId="834" priority="55" operator="greaterThan">
      <formula>0</formula>
    </cfRule>
  </conditionalFormatting>
  <conditionalFormatting sqref="E42">
    <cfRule type="cellIs" dxfId="833" priority="25" operator="greaterThan">
      <formula>0</formula>
    </cfRule>
  </conditionalFormatting>
  <conditionalFormatting sqref="E43">
    <cfRule type="cellIs" dxfId="832" priority="22" operator="greaterThan">
      <formula>1</formula>
    </cfRule>
    <cfRule type="cellIs" dxfId="831" priority="83" operator="greaterThan">
      <formula>1</formula>
    </cfRule>
    <cfRule type="cellIs" dxfId="830" priority="88" operator="greaterThan">
      <formula>1</formula>
    </cfRule>
  </conditionalFormatting>
  <conditionalFormatting sqref="E43:E44">
    <cfRule type="cellIs" dxfId="829" priority="24" operator="greaterThan">
      <formula>0</formula>
    </cfRule>
    <cfRule type="cellIs" dxfId="828" priority="85" operator="greaterThan">
      <formula>0</formula>
    </cfRule>
    <cfRule type="cellIs" dxfId="827" priority="90" operator="greaterThan">
      <formula>0</formula>
    </cfRule>
  </conditionalFormatting>
  <conditionalFormatting sqref="E46">
    <cfRule type="cellIs" dxfId="826" priority="40" operator="greaterThan">
      <formula>0</formula>
    </cfRule>
  </conditionalFormatting>
  <conditionalFormatting sqref="E47">
    <cfRule type="cellIs" dxfId="825" priority="37" operator="greaterThan">
      <formula>1</formula>
    </cfRule>
  </conditionalFormatting>
  <conditionalFormatting sqref="E47:E48">
    <cfRule type="cellIs" dxfId="824" priority="39" operator="greaterThan">
      <formula>0</formula>
    </cfRule>
  </conditionalFormatting>
  <conditionalFormatting sqref="E25:G25">
    <cfRule type="cellIs" dxfId="823" priority="58" operator="greaterThan">
      <formula>0</formula>
    </cfRule>
  </conditionalFormatting>
  <conditionalFormatting sqref="E44:G44">
    <cfRule type="cellIs" dxfId="822" priority="93" operator="greaterThan">
      <formula>0</formula>
    </cfRule>
  </conditionalFormatting>
  <conditionalFormatting sqref="E23:H23">
    <cfRule type="cellIs" dxfId="821" priority="56" operator="greaterThan">
      <formula>0</formula>
    </cfRule>
  </conditionalFormatting>
  <conditionalFormatting sqref="E24:M24">
    <cfRule type="cellIs" dxfId="820" priority="72" operator="greaterThan">
      <formula>0</formula>
    </cfRule>
  </conditionalFormatting>
  <conditionalFormatting sqref="E43:M43">
    <cfRule type="cellIs" dxfId="819" priority="116" operator="greaterThan">
      <formula>0</formula>
    </cfRule>
  </conditionalFormatting>
  <conditionalFormatting sqref="H24">
    <cfRule type="cellIs" dxfId="818" priority="59" operator="greaterThan">
      <formula>1</formula>
    </cfRule>
  </conditionalFormatting>
  <conditionalFormatting sqref="H24:H25">
    <cfRule type="cellIs" dxfId="817" priority="61" operator="greaterThan">
      <formula>0</formula>
    </cfRule>
  </conditionalFormatting>
  <conditionalFormatting sqref="H42">
    <cfRule type="cellIs" dxfId="816" priority="30" operator="greaterThan">
      <formula>0</formula>
    </cfRule>
  </conditionalFormatting>
  <conditionalFormatting sqref="H43">
    <cfRule type="cellIs" dxfId="815" priority="27" operator="greaterThan">
      <formula>1</formula>
    </cfRule>
    <cfRule type="cellIs" dxfId="814" priority="99" operator="greaterThan">
      <formula>1</formula>
    </cfRule>
    <cfRule type="cellIs" dxfId="813" priority="94" operator="greaterThan">
      <formula>1</formula>
    </cfRule>
  </conditionalFormatting>
  <conditionalFormatting sqref="H43:H44">
    <cfRule type="cellIs" dxfId="812" priority="29" operator="greaterThan">
      <formula>0</formula>
    </cfRule>
    <cfRule type="cellIs" dxfId="811" priority="96" operator="greaterThan">
      <formula>0</formula>
    </cfRule>
    <cfRule type="cellIs" dxfId="810" priority="101" operator="greaterThan">
      <formula>0</formula>
    </cfRule>
  </conditionalFormatting>
  <conditionalFormatting sqref="H46">
    <cfRule type="cellIs" dxfId="809" priority="45" operator="greaterThan">
      <formula>0</formula>
    </cfRule>
  </conditionalFormatting>
  <conditionalFormatting sqref="H47">
    <cfRule type="cellIs" dxfId="808" priority="42" operator="greaterThan">
      <formula>1</formula>
    </cfRule>
  </conditionalFormatting>
  <conditionalFormatting sqref="H47:H48">
    <cfRule type="cellIs" dxfId="807" priority="44" operator="greaterThan">
      <formula>0</formula>
    </cfRule>
  </conditionalFormatting>
  <conditionalFormatting sqref="H25:J25">
    <cfRule type="cellIs" dxfId="806" priority="64" operator="greaterThan">
      <formula>0</formula>
    </cfRule>
  </conditionalFormatting>
  <conditionalFormatting sqref="H44:J44">
    <cfRule type="cellIs" dxfId="805" priority="104" operator="greaterThan">
      <formula>0</formula>
    </cfRule>
  </conditionalFormatting>
  <conditionalFormatting sqref="K24">
    <cfRule type="cellIs" dxfId="804" priority="66" operator="greaterThan">
      <formula>1</formula>
    </cfRule>
  </conditionalFormatting>
  <conditionalFormatting sqref="K24:K25">
    <cfRule type="cellIs" dxfId="803" priority="68" operator="greaterThan">
      <formula>0</formula>
    </cfRule>
  </conditionalFormatting>
  <conditionalFormatting sqref="K43">
    <cfRule type="cellIs" dxfId="802" priority="105" operator="greaterThan">
      <formula>1</formula>
    </cfRule>
    <cfRule type="cellIs" dxfId="801" priority="110" operator="greaterThan">
      <formula>1</formula>
    </cfRule>
  </conditionalFormatting>
  <conditionalFormatting sqref="K43:K44">
    <cfRule type="cellIs" dxfId="800" priority="34" operator="greaterThan">
      <formula>0</formula>
    </cfRule>
    <cfRule type="cellIs" dxfId="799" priority="107" operator="greaterThan">
      <formula>0</formula>
    </cfRule>
    <cfRule type="cellIs" dxfId="798" priority="112" operator="greaterThan">
      <formula>0</formula>
    </cfRule>
  </conditionalFormatting>
  <conditionalFormatting sqref="K46">
    <cfRule type="cellIs" dxfId="797" priority="50" operator="greaterThan">
      <formula>0</formula>
    </cfRule>
  </conditionalFormatting>
  <conditionalFormatting sqref="K47">
    <cfRule type="cellIs" dxfId="796" priority="47" operator="greaterThan">
      <formula>1</formula>
    </cfRule>
  </conditionalFormatting>
  <conditionalFormatting sqref="K47:K48">
    <cfRule type="cellIs" dxfId="795" priority="49" operator="greaterThan">
      <formula>0</formula>
    </cfRule>
  </conditionalFormatting>
  <conditionalFormatting sqref="K23:M23">
    <cfRule type="cellIs" dxfId="794" priority="69" operator="greaterThan">
      <formula>0</formula>
    </cfRule>
  </conditionalFormatting>
  <conditionalFormatting sqref="K25:M25">
    <cfRule type="cellIs" dxfId="793" priority="71" operator="greaterThan">
      <formula>0</formula>
    </cfRule>
  </conditionalFormatting>
  <conditionalFormatting sqref="K44:M44">
    <cfRule type="cellIs" dxfId="792" priority="115" operator="greaterThan">
      <formula>0</formula>
    </cfRule>
  </conditionalFormatting>
  <conditionalFormatting sqref="K47:M47">
    <cfRule type="cellIs" dxfId="791" priority="120" operator="greaterThan">
      <formula>0</formula>
    </cfRule>
  </conditionalFormatting>
  <conditionalFormatting sqref="K47:P47">
    <cfRule type="cellIs" dxfId="790" priority="9" operator="greaterThan">
      <formula>0</formula>
    </cfRule>
  </conditionalFormatting>
  <pageMargins left="0.25" right="0.25" top="0.75" bottom="0.75" header="0.3" footer="0.3"/>
  <pageSetup scale="7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F51C-2CF9-43F1-B143-94E6723775BD}">
  <sheetPr>
    <outlinePr summaryBelow="0" summaryRight="0"/>
    <pageSetUpPr fitToPage="1"/>
  </sheetPr>
  <dimension ref="A1:AC998"/>
  <sheetViews>
    <sheetView zoomScale="79" zoomScaleNormal="100" workbookViewId="0">
      <selection activeCell="Q9" sqref="Q9:R9"/>
    </sheetView>
  </sheetViews>
  <sheetFormatPr defaultColWidth="14.44140625" defaultRowHeight="15" customHeight="1" x14ac:dyDescent="0.25"/>
  <cols>
    <col min="1" max="1" width="24" customWidth="1"/>
    <col min="2" max="16" width="5.33203125" customWidth="1"/>
    <col min="17" max="17" width="17.5546875" bestFit="1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41.25" customHeight="1" thickBot="1" x14ac:dyDescent="0.35">
      <c r="A1" s="228" t="s">
        <v>0</v>
      </c>
      <c r="B1" s="229"/>
      <c r="C1" s="230" t="s">
        <v>1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2">
        <v>46266</v>
      </c>
      <c r="Q1" s="231"/>
      <c r="R1" s="231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233" t="s">
        <v>2</v>
      </c>
      <c r="B2" s="215"/>
      <c r="C2" s="225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7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8" thickBot="1" x14ac:dyDescent="0.35">
      <c r="A3" s="247" t="s">
        <v>3</v>
      </c>
      <c r="B3" s="183"/>
      <c r="C3" s="234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6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54" customHeight="1" x14ac:dyDescent="0.25">
      <c r="A4" s="92" t="s">
        <v>4</v>
      </c>
      <c r="B4" s="240"/>
      <c r="C4" s="241"/>
      <c r="D4" s="242"/>
      <c r="E4" s="240"/>
      <c r="F4" s="241"/>
      <c r="G4" s="242"/>
      <c r="H4" s="240"/>
      <c r="I4" s="241"/>
      <c r="J4" s="242"/>
      <c r="K4" s="240"/>
      <c r="L4" s="241"/>
      <c r="M4" s="242"/>
      <c r="N4" s="240"/>
      <c r="O4" s="241"/>
      <c r="P4" s="242"/>
      <c r="Q4" s="243" t="s">
        <v>5</v>
      </c>
      <c r="R4" s="244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93" t="s">
        <v>6</v>
      </c>
      <c r="B5" s="237"/>
      <c r="C5" s="238"/>
      <c r="D5" s="239"/>
      <c r="E5" s="237"/>
      <c r="F5" s="238"/>
      <c r="G5" s="239"/>
      <c r="H5" s="237"/>
      <c r="I5" s="238"/>
      <c r="J5" s="239"/>
      <c r="K5" s="237"/>
      <c r="L5" s="238"/>
      <c r="M5" s="239"/>
      <c r="N5" s="237"/>
      <c r="O5" s="238"/>
      <c r="P5" s="239"/>
      <c r="Q5" s="245"/>
      <c r="R5" s="180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thickBot="1" x14ac:dyDescent="0.3">
      <c r="A6" s="94" t="s">
        <v>7</v>
      </c>
      <c r="B6" s="237"/>
      <c r="C6" s="238"/>
      <c r="D6" s="239"/>
      <c r="E6" s="237"/>
      <c r="F6" s="238"/>
      <c r="G6" s="239"/>
      <c r="H6" s="237"/>
      <c r="I6" s="238"/>
      <c r="J6" s="239"/>
      <c r="K6" s="237"/>
      <c r="L6" s="238"/>
      <c r="M6" s="239"/>
      <c r="N6" s="237"/>
      <c r="O6" s="238"/>
      <c r="P6" s="239"/>
      <c r="Q6" s="245"/>
      <c r="R6" s="180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thickBot="1" x14ac:dyDescent="0.3">
      <c r="A7" s="153"/>
      <c r="B7" s="95" t="s">
        <v>8</v>
      </c>
      <c r="C7" s="96" t="s">
        <v>9</v>
      </c>
      <c r="D7" s="97" t="s">
        <v>10</v>
      </c>
      <c r="E7" s="95" t="s">
        <v>8</v>
      </c>
      <c r="F7" s="96" t="s">
        <v>9</v>
      </c>
      <c r="G7" s="97" t="s">
        <v>10</v>
      </c>
      <c r="H7" s="95" t="s">
        <v>8</v>
      </c>
      <c r="I7" s="96" t="s">
        <v>9</v>
      </c>
      <c r="J7" s="97" t="s">
        <v>10</v>
      </c>
      <c r="K7" s="95" t="s">
        <v>8</v>
      </c>
      <c r="L7" s="96" t="s">
        <v>9</v>
      </c>
      <c r="M7" s="97" t="s">
        <v>10</v>
      </c>
      <c r="N7" s="95" t="s">
        <v>8</v>
      </c>
      <c r="O7" s="96" t="s">
        <v>9</v>
      </c>
      <c r="P7" s="97" t="s">
        <v>10</v>
      </c>
      <c r="Q7" s="246"/>
      <c r="R7" s="188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8" x14ac:dyDescent="0.25">
      <c r="A8" s="98">
        <v>46266</v>
      </c>
      <c r="B8" s="140"/>
      <c r="C8" s="141"/>
      <c r="D8" s="142"/>
      <c r="E8" s="143"/>
      <c r="F8" s="141"/>
      <c r="G8" s="142"/>
      <c r="H8" s="143"/>
      <c r="I8" s="141"/>
      <c r="J8" s="142"/>
      <c r="K8" s="143"/>
      <c r="L8" s="141"/>
      <c r="M8" s="142"/>
      <c r="N8" s="143"/>
      <c r="O8" s="141"/>
      <c r="P8" s="142"/>
      <c r="Q8" s="205"/>
      <c r="R8" s="191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8" x14ac:dyDescent="0.25">
      <c r="A9" s="100">
        <f t="shared" ref="A9:A22" si="0">A8+1</f>
        <v>46267</v>
      </c>
      <c r="B9" s="140"/>
      <c r="C9" s="137"/>
      <c r="D9" s="138"/>
      <c r="E9" s="139"/>
      <c r="F9" s="137"/>
      <c r="G9" s="138"/>
      <c r="H9" s="139"/>
      <c r="I9" s="137"/>
      <c r="J9" s="138"/>
      <c r="K9" s="139"/>
      <c r="L9" s="137"/>
      <c r="M9" s="138"/>
      <c r="N9" s="139"/>
      <c r="O9" s="137"/>
      <c r="P9" s="138"/>
      <c r="Q9" s="205"/>
      <c r="R9" s="191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3.8" x14ac:dyDescent="0.25">
      <c r="A10" s="100">
        <f t="shared" si="0"/>
        <v>46268</v>
      </c>
      <c r="B10" s="140"/>
      <c r="C10" s="137"/>
      <c r="D10" s="138"/>
      <c r="E10" s="139"/>
      <c r="F10" s="137"/>
      <c r="G10" s="138"/>
      <c r="H10" s="139"/>
      <c r="I10" s="137"/>
      <c r="J10" s="138"/>
      <c r="K10" s="139"/>
      <c r="L10" s="137"/>
      <c r="M10" s="138"/>
      <c r="N10" s="139"/>
      <c r="O10" s="137"/>
      <c r="P10" s="138"/>
      <c r="Q10" s="204"/>
      <c r="R10" s="191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8" x14ac:dyDescent="0.25">
      <c r="A11" s="100">
        <f t="shared" si="0"/>
        <v>46269</v>
      </c>
      <c r="B11" s="140"/>
      <c r="C11" s="137"/>
      <c r="D11" s="138"/>
      <c r="E11" s="139"/>
      <c r="F11" s="137"/>
      <c r="G11" s="138"/>
      <c r="H11" s="139"/>
      <c r="I11" s="137"/>
      <c r="J11" s="138"/>
      <c r="K11" s="139"/>
      <c r="L11" s="137"/>
      <c r="M11" s="138"/>
      <c r="N11" s="139"/>
      <c r="O11" s="137"/>
      <c r="P11" s="138"/>
      <c r="Q11" s="204"/>
      <c r="R11" s="191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8" x14ac:dyDescent="0.25">
      <c r="A12" s="100">
        <f t="shared" si="0"/>
        <v>46270</v>
      </c>
      <c r="B12" s="140"/>
      <c r="C12" s="137"/>
      <c r="D12" s="138"/>
      <c r="E12" s="139"/>
      <c r="F12" s="137"/>
      <c r="G12" s="138"/>
      <c r="H12" s="139"/>
      <c r="I12" s="137"/>
      <c r="J12" s="138"/>
      <c r="K12" s="139"/>
      <c r="L12" s="137"/>
      <c r="M12" s="138"/>
      <c r="N12" s="139"/>
      <c r="O12" s="137"/>
      <c r="P12" s="138"/>
      <c r="Q12" s="204"/>
      <c r="R12" s="191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8" x14ac:dyDescent="0.25">
      <c r="A13" s="100">
        <f t="shared" si="0"/>
        <v>46271</v>
      </c>
      <c r="B13" s="140"/>
      <c r="C13" s="137"/>
      <c r="D13" s="138"/>
      <c r="E13" s="139"/>
      <c r="F13" s="137"/>
      <c r="G13" s="138"/>
      <c r="H13" s="139"/>
      <c r="I13" s="137"/>
      <c r="J13" s="138"/>
      <c r="K13" s="139"/>
      <c r="L13" s="137"/>
      <c r="M13" s="138"/>
      <c r="N13" s="139"/>
      <c r="O13" s="137"/>
      <c r="P13" s="138"/>
      <c r="Q13" s="204"/>
      <c r="R13" s="191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8" x14ac:dyDescent="0.25">
      <c r="A14" s="149">
        <f t="shared" si="0"/>
        <v>46272</v>
      </c>
      <c r="B14" s="163"/>
      <c r="C14" s="144"/>
      <c r="D14" s="145"/>
      <c r="E14" s="146"/>
      <c r="F14" s="144"/>
      <c r="G14" s="145"/>
      <c r="H14" s="146"/>
      <c r="I14" s="144"/>
      <c r="J14" s="145"/>
      <c r="K14" s="146"/>
      <c r="L14" s="144"/>
      <c r="M14" s="145"/>
      <c r="N14" s="146"/>
      <c r="O14" s="144"/>
      <c r="P14" s="145"/>
      <c r="Q14" s="261" t="s">
        <v>14</v>
      </c>
      <c r="R14" s="257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8" x14ac:dyDescent="0.25">
      <c r="A15" s="100">
        <f t="shared" si="0"/>
        <v>46273</v>
      </c>
      <c r="B15" s="140"/>
      <c r="C15" s="137"/>
      <c r="D15" s="138"/>
      <c r="E15" s="139"/>
      <c r="F15" s="137"/>
      <c r="G15" s="138"/>
      <c r="H15" s="139"/>
      <c r="I15" s="137"/>
      <c r="J15" s="138"/>
      <c r="K15" s="139"/>
      <c r="L15" s="137"/>
      <c r="M15" s="138"/>
      <c r="N15" s="139"/>
      <c r="O15" s="137"/>
      <c r="P15" s="138"/>
      <c r="Q15" s="205"/>
      <c r="R15" s="191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8" x14ac:dyDescent="0.25">
      <c r="A16" s="100">
        <f t="shared" si="0"/>
        <v>46274</v>
      </c>
      <c r="B16" s="140"/>
      <c r="C16" s="137"/>
      <c r="D16" s="138"/>
      <c r="E16" s="139"/>
      <c r="F16" s="137"/>
      <c r="G16" s="138"/>
      <c r="H16" s="139"/>
      <c r="I16" s="137"/>
      <c r="J16" s="138"/>
      <c r="K16" s="139"/>
      <c r="L16" s="137"/>
      <c r="M16" s="138"/>
      <c r="N16" s="139"/>
      <c r="O16" s="137"/>
      <c r="P16" s="138"/>
      <c r="Q16" s="204"/>
      <c r="R16" s="191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4.4" x14ac:dyDescent="0.3">
      <c r="A17" s="100">
        <f t="shared" si="0"/>
        <v>46275</v>
      </c>
      <c r="B17" s="140"/>
      <c r="C17" s="137"/>
      <c r="D17" s="138"/>
      <c r="E17" s="139"/>
      <c r="F17" s="137"/>
      <c r="G17" s="138"/>
      <c r="H17" s="139"/>
      <c r="I17" s="137"/>
      <c r="J17" s="138"/>
      <c r="K17" s="139"/>
      <c r="L17" s="137"/>
      <c r="M17" s="138"/>
      <c r="N17" s="139"/>
      <c r="O17" s="137"/>
      <c r="P17" s="138"/>
      <c r="Q17" s="204"/>
      <c r="R17" s="191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4.4" x14ac:dyDescent="0.3">
      <c r="A18" s="100">
        <f t="shared" si="0"/>
        <v>46276</v>
      </c>
      <c r="B18" s="140"/>
      <c r="C18" s="137"/>
      <c r="D18" s="138"/>
      <c r="E18" s="139"/>
      <c r="F18" s="137"/>
      <c r="G18" s="138"/>
      <c r="H18" s="139"/>
      <c r="I18" s="137"/>
      <c r="J18" s="138"/>
      <c r="K18" s="139"/>
      <c r="L18" s="137"/>
      <c r="M18" s="138"/>
      <c r="N18" s="139"/>
      <c r="O18" s="137"/>
      <c r="P18" s="138"/>
      <c r="Q18" s="205"/>
      <c r="R18" s="191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4.4" x14ac:dyDescent="0.3">
      <c r="A19" s="100">
        <f t="shared" si="0"/>
        <v>46277</v>
      </c>
      <c r="B19" s="140"/>
      <c r="C19" s="137"/>
      <c r="D19" s="138"/>
      <c r="E19" s="139"/>
      <c r="F19" s="137"/>
      <c r="G19" s="138"/>
      <c r="H19" s="139"/>
      <c r="I19" s="137"/>
      <c r="J19" s="138"/>
      <c r="K19" s="139"/>
      <c r="L19" s="137"/>
      <c r="M19" s="138"/>
      <c r="N19" s="139"/>
      <c r="O19" s="137"/>
      <c r="P19" s="138"/>
      <c r="Q19" s="204"/>
      <c r="R19" s="191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4.4" x14ac:dyDescent="0.3">
      <c r="A20" s="100">
        <f t="shared" si="0"/>
        <v>46278</v>
      </c>
      <c r="B20" s="140"/>
      <c r="C20" s="137"/>
      <c r="D20" s="138"/>
      <c r="E20" s="139"/>
      <c r="F20" s="137"/>
      <c r="G20" s="138"/>
      <c r="H20" s="139"/>
      <c r="I20" s="137"/>
      <c r="J20" s="138"/>
      <c r="K20" s="139"/>
      <c r="L20" s="137"/>
      <c r="M20" s="138"/>
      <c r="N20" s="139"/>
      <c r="O20" s="137"/>
      <c r="P20" s="138"/>
      <c r="Q20" s="221"/>
      <c r="R20" s="220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100">
        <f t="shared" si="0"/>
        <v>46279</v>
      </c>
      <c r="B21" s="140"/>
      <c r="C21" s="137"/>
      <c r="D21" s="138"/>
      <c r="E21" s="139"/>
      <c r="F21" s="137"/>
      <c r="G21" s="138"/>
      <c r="H21" s="139"/>
      <c r="I21" s="137"/>
      <c r="J21" s="138"/>
      <c r="K21" s="139"/>
      <c r="L21" s="137"/>
      <c r="M21" s="138"/>
      <c r="N21" s="139"/>
      <c r="O21" s="137"/>
      <c r="P21" s="138"/>
      <c r="Q21" s="204"/>
      <c r="R21" s="191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thickBot="1" x14ac:dyDescent="0.35">
      <c r="A22" s="101">
        <f t="shared" si="0"/>
        <v>46280</v>
      </c>
      <c r="B22" s="140"/>
      <c r="C22" s="154"/>
      <c r="D22" s="155"/>
      <c r="E22" s="156"/>
      <c r="F22" s="154"/>
      <c r="G22" s="155"/>
      <c r="H22" s="156"/>
      <c r="I22" s="154"/>
      <c r="J22" s="155"/>
      <c r="K22" s="156"/>
      <c r="L22" s="154"/>
      <c r="M22" s="155"/>
      <c r="N22" s="156"/>
      <c r="O22" s="154"/>
      <c r="P22" s="155"/>
      <c r="Q22" s="212"/>
      <c r="R22" s="213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102" t="s">
        <v>17</v>
      </c>
      <c r="B23" s="214">
        <f>SUM(B8:B22)</f>
        <v>0</v>
      </c>
      <c r="C23" s="207"/>
      <c r="D23" s="208"/>
      <c r="E23" s="214">
        <f>SUM(E8:E22)</f>
        <v>0</v>
      </c>
      <c r="F23" s="207"/>
      <c r="G23" s="208"/>
      <c r="H23" s="214">
        <f>SUM(H8:H22)</f>
        <v>0</v>
      </c>
      <c r="I23" s="207"/>
      <c r="J23" s="208"/>
      <c r="K23" s="214">
        <f>SUM(K8:K22)</f>
        <v>0</v>
      </c>
      <c r="L23" s="207"/>
      <c r="M23" s="208"/>
      <c r="N23" s="214">
        <f>SUM(N8:N22)</f>
        <v>0</v>
      </c>
      <c r="O23" s="207"/>
      <c r="P23" s="208"/>
      <c r="Q23" s="103" t="s">
        <v>18</v>
      </c>
      <c r="R23" s="104">
        <f t="shared" ref="R23:R25" si="1">SUM(B23:P23)</f>
        <v>0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25">
      <c r="A24" s="105" t="s">
        <v>20</v>
      </c>
      <c r="B24" s="192">
        <f>SUM(C8:C23)</f>
        <v>0</v>
      </c>
      <c r="C24" s="190"/>
      <c r="D24" s="191"/>
      <c r="E24" s="192">
        <f>SUM(F8:F23)</f>
        <v>0</v>
      </c>
      <c r="F24" s="190"/>
      <c r="G24" s="191"/>
      <c r="H24" s="192">
        <f>SUM(I8:I23)</f>
        <v>0</v>
      </c>
      <c r="I24" s="190"/>
      <c r="J24" s="191"/>
      <c r="K24" s="192">
        <f>SUM(L8:L23)</f>
        <v>0</v>
      </c>
      <c r="L24" s="190"/>
      <c r="M24" s="191"/>
      <c r="N24" s="192">
        <f>SUM(O8:O23)</f>
        <v>0</v>
      </c>
      <c r="O24" s="190"/>
      <c r="P24" s="191"/>
      <c r="Q24" s="106" t="s">
        <v>21</v>
      </c>
      <c r="R24" s="107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thickBot="1" x14ac:dyDescent="0.3">
      <c r="A25" s="108" t="s">
        <v>22</v>
      </c>
      <c r="B25" s="181">
        <f>SUM(D8:D22)</f>
        <v>0</v>
      </c>
      <c r="C25" s="182"/>
      <c r="D25" s="185"/>
      <c r="E25" s="181">
        <f>SUM(G8:G22)</f>
        <v>0</v>
      </c>
      <c r="F25" s="182"/>
      <c r="G25" s="185"/>
      <c r="H25" s="181">
        <f>SUM(J8:J22)</f>
        <v>0</v>
      </c>
      <c r="I25" s="182"/>
      <c r="J25" s="185"/>
      <c r="K25" s="181">
        <f>SUM(M8:M22)</f>
        <v>0</v>
      </c>
      <c r="L25" s="182"/>
      <c r="M25" s="185"/>
      <c r="N25" s="181">
        <f>SUM(P8:P22)</f>
        <v>0</v>
      </c>
      <c r="O25" s="182"/>
      <c r="P25" s="185"/>
      <c r="Q25" s="109" t="s">
        <v>23</v>
      </c>
      <c r="R25" s="110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98">
        <f>A22+1</f>
        <v>46281</v>
      </c>
      <c r="B26" s="151"/>
      <c r="C26" s="159"/>
      <c r="D26" s="160"/>
      <c r="E26" s="161"/>
      <c r="F26" s="159"/>
      <c r="G26" s="160"/>
      <c r="H26" s="161"/>
      <c r="I26" s="159"/>
      <c r="J26" s="160"/>
      <c r="K26" s="161"/>
      <c r="L26" s="159"/>
      <c r="M26" s="160"/>
      <c r="N26" s="161"/>
      <c r="O26" s="159"/>
      <c r="P26" s="160"/>
      <c r="Q26" s="255"/>
      <c r="R26" s="211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100">
        <f t="shared" ref="A27:A40" si="2">A26+1</f>
        <v>46282</v>
      </c>
      <c r="B27" s="151"/>
      <c r="C27" s="137"/>
      <c r="D27" s="138"/>
      <c r="E27" s="139"/>
      <c r="F27" s="137"/>
      <c r="G27" s="138"/>
      <c r="H27" s="139"/>
      <c r="I27" s="137"/>
      <c r="J27" s="138"/>
      <c r="K27" s="139"/>
      <c r="L27" s="137"/>
      <c r="M27" s="138"/>
      <c r="N27" s="139"/>
      <c r="O27" s="137"/>
      <c r="P27" s="138"/>
      <c r="Q27" s="219"/>
      <c r="R27" s="220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100">
        <f t="shared" si="2"/>
        <v>46283</v>
      </c>
      <c r="B28" s="151"/>
      <c r="C28" s="137"/>
      <c r="D28" s="138"/>
      <c r="E28" s="139"/>
      <c r="F28" s="137"/>
      <c r="G28" s="138"/>
      <c r="H28" s="139"/>
      <c r="I28" s="137"/>
      <c r="J28" s="138"/>
      <c r="K28" s="139"/>
      <c r="L28" s="137"/>
      <c r="M28" s="138"/>
      <c r="N28" s="139"/>
      <c r="O28" s="137"/>
      <c r="P28" s="138"/>
      <c r="Q28" s="204"/>
      <c r="R28" s="191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100">
        <f t="shared" si="2"/>
        <v>46284</v>
      </c>
      <c r="B29" s="151"/>
      <c r="C29" s="137"/>
      <c r="D29" s="138"/>
      <c r="E29" s="139"/>
      <c r="F29" s="137"/>
      <c r="G29" s="138"/>
      <c r="H29" s="139"/>
      <c r="I29" s="137"/>
      <c r="J29" s="138"/>
      <c r="K29" s="139"/>
      <c r="L29" s="137"/>
      <c r="M29" s="138"/>
      <c r="N29" s="139"/>
      <c r="O29" s="137"/>
      <c r="P29" s="138"/>
      <c r="Q29" s="204"/>
      <c r="R29" s="191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100">
        <f t="shared" si="2"/>
        <v>46285</v>
      </c>
      <c r="B30" s="151"/>
      <c r="C30" s="137"/>
      <c r="D30" s="138"/>
      <c r="E30" s="139"/>
      <c r="F30" s="137"/>
      <c r="G30" s="138"/>
      <c r="H30" s="139"/>
      <c r="I30" s="137"/>
      <c r="J30" s="138"/>
      <c r="K30" s="139"/>
      <c r="L30" s="137"/>
      <c r="M30" s="138"/>
      <c r="N30" s="139"/>
      <c r="O30" s="137"/>
      <c r="P30" s="138"/>
      <c r="Q30" s="204"/>
      <c r="R30" s="191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100">
        <f t="shared" si="2"/>
        <v>46286</v>
      </c>
      <c r="B31" s="151"/>
      <c r="C31" s="137"/>
      <c r="D31" s="138"/>
      <c r="E31" s="139"/>
      <c r="F31" s="137"/>
      <c r="G31" s="138"/>
      <c r="H31" s="139"/>
      <c r="I31" s="137"/>
      <c r="J31" s="138"/>
      <c r="K31" s="139"/>
      <c r="L31" s="137"/>
      <c r="M31" s="138"/>
      <c r="N31" s="139"/>
      <c r="O31" s="137"/>
      <c r="P31" s="138"/>
      <c r="Q31" s="221"/>
      <c r="R31" s="191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100">
        <f t="shared" si="2"/>
        <v>46287</v>
      </c>
      <c r="B32" s="151"/>
      <c r="C32" s="137"/>
      <c r="D32" s="138"/>
      <c r="E32" s="139"/>
      <c r="F32" s="137"/>
      <c r="G32" s="138"/>
      <c r="H32" s="139"/>
      <c r="I32" s="137"/>
      <c r="J32" s="138"/>
      <c r="K32" s="139"/>
      <c r="L32" s="137"/>
      <c r="M32" s="138"/>
      <c r="N32" s="139"/>
      <c r="O32" s="137"/>
      <c r="P32" s="138"/>
      <c r="Q32" s="204"/>
      <c r="R32" s="191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100">
        <f t="shared" si="2"/>
        <v>46288</v>
      </c>
      <c r="B33" s="151"/>
      <c r="C33" s="137"/>
      <c r="D33" s="138"/>
      <c r="E33" s="139"/>
      <c r="F33" s="137"/>
      <c r="G33" s="138"/>
      <c r="H33" s="139"/>
      <c r="I33" s="137"/>
      <c r="J33" s="138"/>
      <c r="K33" s="139"/>
      <c r="L33" s="137"/>
      <c r="M33" s="138"/>
      <c r="N33" s="139"/>
      <c r="O33" s="137"/>
      <c r="P33" s="138"/>
      <c r="Q33" s="205"/>
      <c r="R33" s="191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100">
        <f t="shared" si="2"/>
        <v>46289</v>
      </c>
      <c r="B34" s="151"/>
      <c r="C34" s="137"/>
      <c r="D34" s="138"/>
      <c r="E34" s="139"/>
      <c r="F34" s="137"/>
      <c r="G34" s="138"/>
      <c r="H34" s="139"/>
      <c r="I34" s="137"/>
      <c r="J34" s="138"/>
      <c r="K34" s="139"/>
      <c r="L34" s="137"/>
      <c r="M34" s="138"/>
      <c r="N34" s="139"/>
      <c r="O34" s="137"/>
      <c r="P34" s="138"/>
      <c r="Q34" s="204"/>
      <c r="R34" s="191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100">
        <f t="shared" si="2"/>
        <v>46290</v>
      </c>
      <c r="B35" s="151"/>
      <c r="C35" s="137"/>
      <c r="D35" s="138"/>
      <c r="E35" s="139"/>
      <c r="F35" s="137"/>
      <c r="G35" s="138"/>
      <c r="H35" s="139"/>
      <c r="I35" s="137"/>
      <c r="J35" s="138"/>
      <c r="K35" s="139"/>
      <c r="L35" s="137"/>
      <c r="M35" s="138"/>
      <c r="N35" s="139"/>
      <c r="O35" s="137"/>
      <c r="P35" s="138"/>
      <c r="Q35" s="204"/>
      <c r="R35" s="191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100">
        <f t="shared" si="2"/>
        <v>46291</v>
      </c>
      <c r="B36" s="151"/>
      <c r="C36" s="137"/>
      <c r="D36" s="138"/>
      <c r="E36" s="139"/>
      <c r="F36" s="137"/>
      <c r="G36" s="138"/>
      <c r="H36" s="139"/>
      <c r="I36" s="137"/>
      <c r="J36" s="138"/>
      <c r="K36" s="139"/>
      <c r="L36" s="137"/>
      <c r="M36" s="138"/>
      <c r="N36" s="139"/>
      <c r="O36" s="137"/>
      <c r="P36" s="138"/>
      <c r="Q36" s="205"/>
      <c r="R36" s="191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100">
        <f t="shared" si="2"/>
        <v>46292</v>
      </c>
      <c r="B37" s="151"/>
      <c r="C37" s="137"/>
      <c r="D37" s="138"/>
      <c r="E37" s="139"/>
      <c r="F37" s="137"/>
      <c r="G37" s="138"/>
      <c r="H37" s="139"/>
      <c r="I37" s="137"/>
      <c r="J37" s="138"/>
      <c r="K37" s="139"/>
      <c r="L37" s="137"/>
      <c r="M37" s="138"/>
      <c r="N37" s="139"/>
      <c r="O37" s="137"/>
      <c r="P37" s="138"/>
      <c r="Q37" s="204"/>
      <c r="R37" s="191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100">
        <f t="shared" si="2"/>
        <v>46293</v>
      </c>
      <c r="B38" s="151"/>
      <c r="C38" s="137"/>
      <c r="D38" s="138"/>
      <c r="E38" s="139"/>
      <c r="F38" s="137"/>
      <c r="G38" s="138"/>
      <c r="H38" s="139"/>
      <c r="I38" s="137"/>
      <c r="J38" s="138"/>
      <c r="K38" s="139"/>
      <c r="L38" s="137"/>
      <c r="M38" s="138"/>
      <c r="N38" s="139"/>
      <c r="O38" s="137"/>
      <c r="P38" s="138"/>
      <c r="Q38" s="204"/>
      <c r="R38" s="191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100">
        <f t="shared" si="2"/>
        <v>46294</v>
      </c>
      <c r="B39" s="151"/>
      <c r="C39" s="137"/>
      <c r="D39" s="138"/>
      <c r="E39" s="139"/>
      <c r="F39" s="137"/>
      <c r="G39" s="138"/>
      <c r="H39" s="139"/>
      <c r="I39" s="137"/>
      <c r="J39" s="138"/>
      <c r="K39" s="139"/>
      <c r="L39" s="137"/>
      <c r="M39" s="138"/>
      <c r="N39" s="139"/>
      <c r="O39" s="137"/>
      <c r="P39" s="138"/>
      <c r="Q39" s="204"/>
      <c r="R39" s="191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thickBot="1" x14ac:dyDescent="0.3">
      <c r="A40" s="100">
        <f t="shared" si="2"/>
        <v>46295</v>
      </c>
      <c r="B40" s="151"/>
      <c r="C40" s="137"/>
      <c r="D40" s="138"/>
      <c r="E40" s="139"/>
      <c r="F40" s="137"/>
      <c r="G40" s="138"/>
      <c r="H40" s="139"/>
      <c r="I40" s="137"/>
      <c r="J40" s="138"/>
      <c r="K40" s="139"/>
      <c r="L40" s="137"/>
      <c r="M40" s="138"/>
      <c r="N40" s="139"/>
      <c r="O40" s="137"/>
      <c r="P40" s="138"/>
      <c r="Q40" s="204"/>
      <c r="R40" s="191"/>
      <c r="S40" s="6"/>
      <c r="T40" s="6"/>
      <c r="U40" s="38"/>
      <c r="V40" s="38"/>
      <c r="W40" s="6"/>
      <c r="X40" s="6"/>
      <c r="Y40" s="6"/>
      <c r="Z40" s="6"/>
      <c r="AA40" s="6"/>
      <c r="AB40" s="6"/>
      <c r="AC40" s="6"/>
    </row>
    <row r="41" spans="1:29" ht="15.75" customHeight="1" x14ac:dyDescent="0.25">
      <c r="A41" s="111" t="s">
        <v>24</v>
      </c>
      <c r="B41" s="206">
        <f>SUM(B26:B40)</f>
        <v>0</v>
      </c>
      <c r="C41" s="207"/>
      <c r="D41" s="208"/>
      <c r="E41" s="214">
        <f>SUM(E26:E40)</f>
        <v>0</v>
      </c>
      <c r="F41" s="207"/>
      <c r="G41" s="215"/>
      <c r="H41" s="206">
        <f>SUM(H26:H40)</f>
        <v>0</v>
      </c>
      <c r="I41" s="207"/>
      <c r="J41" s="208"/>
      <c r="K41" s="214">
        <f>SUM(K26:K40)</f>
        <v>0</v>
      </c>
      <c r="L41" s="207"/>
      <c r="M41" s="215"/>
      <c r="N41" s="214">
        <f>SUM(N26:N40)</f>
        <v>0</v>
      </c>
      <c r="O41" s="207"/>
      <c r="P41" s="215"/>
      <c r="Q41" s="103" t="s">
        <v>18</v>
      </c>
      <c r="R41" s="112">
        <f t="shared" ref="R41:R43" si="3">SUM(B41:P41)</f>
        <v>0</v>
      </c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</row>
    <row r="42" spans="1:29" ht="15.75" customHeight="1" x14ac:dyDescent="0.25">
      <c r="A42" s="113" t="s">
        <v>25</v>
      </c>
      <c r="B42" s="189">
        <f>SUM(C26:C41)</f>
        <v>0</v>
      </c>
      <c r="C42" s="190"/>
      <c r="D42" s="191"/>
      <c r="E42" s="192">
        <f>SUM(F26:F41)</f>
        <v>0</v>
      </c>
      <c r="F42" s="190"/>
      <c r="G42" s="216"/>
      <c r="H42" s="189">
        <f>SUM(I26:I41)</f>
        <v>0</v>
      </c>
      <c r="I42" s="190"/>
      <c r="J42" s="191"/>
      <c r="K42" s="192">
        <f>SUM(L26:L41)</f>
        <v>0</v>
      </c>
      <c r="L42" s="190"/>
      <c r="M42" s="216"/>
      <c r="N42" s="192">
        <f>SUM(O26:O41)</f>
        <v>0</v>
      </c>
      <c r="O42" s="190"/>
      <c r="P42" s="216"/>
      <c r="Q42" s="106" t="s">
        <v>26</v>
      </c>
      <c r="R42" s="114">
        <f t="shared" si="3"/>
        <v>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thickBot="1" x14ac:dyDescent="0.3">
      <c r="A43" s="115" t="s">
        <v>27</v>
      </c>
      <c r="B43" s="184">
        <f>SUM(D26:D40)</f>
        <v>0</v>
      </c>
      <c r="C43" s="182"/>
      <c r="D43" s="185"/>
      <c r="E43" s="181">
        <f>SUM(G26:G40)</f>
        <v>0</v>
      </c>
      <c r="F43" s="182"/>
      <c r="G43" s="183"/>
      <c r="H43" s="184">
        <f>SUM(J26:J40)</f>
        <v>0</v>
      </c>
      <c r="I43" s="182"/>
      <c r="J43" s="185"/>
      <c r="K43" s="181">
        <f>SUM(M26:M40)</f>
        <v>0</v>
      </c>
      <c r="L43" s="182"/>
      <c r="M43" s="183"/>
      <c r="N43" s="181">
        <f>SUM(P26:P40)</f>
        <v>0</v>
      </c>
      <c r="O43" s="182"/>
      <c r="P43" s="183"/>
      <c r="Q43" s="109" t="s">
        <v>23</v>
      </c>
      <c r="R43" s="116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21" hidden="1" customHeight="1" x14ac:dyDescent="0.25">
      <c r="A44" s="157"/>
      <c r="B44" s="186" t="str">
        <f>IF(ISBLANK(B6),"",B6)</f>
        <v/>
      </c>
      <c r="C44" s="187"/>
      <c r="D44" s="188"/>
      <c r="E44" s="186" t="str">
        <f>IF(ISBLANK(E6),"",E6)</f>
        <v/>
      </c>
      <c r="F44" s="187"/>
      <c r="G44" s="188"/>
      <c r="H44" s="186" t="str">
        <f>IF(ISBLANK(H6),"",H6)</f>
        <v/>
      </c>
      <c r="I44" s="187"/>
      <c r="J44" s="188"/>
      <c r="K44" s="186" t="str">
        <f>IF(ISBLANK(K6),"",K6)</f>
        <v/>
      </c>
      <c r="L44" s="187"/>
      <c r="M44" s="188"/>
      <c r="N44" s="186" t="str">
        <f>IF(ISBLANK(N6),"",N6)</f>
        <v/>
      </c>
      <c r="O44" s="187"/>
      <c r="P44" s="188"/>
      <c r="Q44" s="179"/>
      <c r="R44" s="180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15.75" customHeight="1" x14ac:dyDescent="0.25">
      <c r="A45" s="117" t="s">
        <v>28</v>
      </c>
      <c r="B45" s="206">
        <f>B23+B41</f>
        <v>0</v>
      </c>
      <c r="C45" s="207"/>
      <c r="D45" s="208"/>
      <c r="E45" s="209">
        <f>E23+E41</f>
        <v>0</v>
      </c>
      <c r="F45" s="210"/>
      <c r="G45" s="211"/>
      <c r="H45" s="209">
        <f>H23+H41</f>
        <v>0</v>
      </c>
      <c r="I45" s="210"/>
      <c r="J45" s="211"/>
      <c r="K45" s="209">
        <f>K23+K41</f>
        <v>0</v>
      </c>
      <c r="L45" s="210"/>
      <c r="M45" s="211"/>
      <c r="N45" s="209">
        <f>N23+N41</f>
        <v>0</v>
      </c>
      <c r="O45" s="210"/>
      <c r="P45" s="211"/>
      <c r="Q45" s="103" t="s">
        <v>18</v>
      </c>
      <c r="R45" s="112">
        <f t="shared" ref="R45:R47" si="4">SUM(B45:P45)</f>
        <v>0</v>
      </c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25">
      <c r="A46" s="105" t="s">
        <v>29</v>
      </c>
      <c r="B46" s="192">
        <f>B24+B42</f>
        <v>0</v>
      </c>
      <c r="C46" s="190"/>
      <c r="D46" s="191"/>
      <c r="E46" s="189">
        <f>E24+E42</f>
        <v>0</v>
      </c>
      <c r="F46" s="190"/>
      <c r="G46" s="191"/>
      <c r="H46" s="189">
        <f>H24+H42</f>
        <v>0</v>
      </c>
      <c r="I46" s="190"/>
      <c r="J46" s="191"/>
      <c r="K46" s="189">
        <f>K24+K42</f>
        <v>0</v>
      </c>
      <c r="L46" s="190"/>
      <c r="M46" s="191"/>
      <c r="N46" s="189">
        <f>N24+N42</f>
        <v>0</v>
      </c>
      <c r="O46" s="190"/>
      <c r="P46" s="191"/>
      <c r="Q46" s="106" t="s">
        <v>26</v>
      </c>
      <c r="R46" s="114">
        <f t="shared" si="4"/>
        <v>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thickBot="1" x14ac:dyDescent="0.3">
      <c r="A47" s="118" t="s">
        <v>30</v>
      </c>
      <c r="B47" s="181">
        <f>B25+B43</f>
        <v>0</v>
      </c>
      <c r="C47" s="182"/>
      <c r="D47" s="185"/>
      <c r="E47" s="184">
        <f>E25+E43</f>
        <v>0</v>
      </c>
      <c r="F47" s="182"/>
      <c r="G47" s="185"/>
      <c r="H47" s="184">
        <f>H25+H43</f>
        <v>0</v>
      </c>
      <c r="I47" s="182"/>
      <c r="J47" s="185"/>
      <c r="K47" s="184">
        <f>K25+K43</f>
        <v>0</v>
      </c>
      <c r="L47" s="182"/>
      <c r="M47" s="185"/>
      <c r="N47" s="184">
        <f>N25+N43</f>
        <v>0</v>
      </c>
      <c r="O47" s="182"/>
      <c r="P47" s="185"/>
      <c r="Q47" s="109" t="s">
        <v>23</v>
      </c>
      <c r="R47" s="116">
        <f t="shared" si="4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7.5" hidden="1" customHeight="1" x14ac:dyDescent="0.25">
      <c r="A48" s="119"/>
      <c r="B48" s="186" t="str">
        <f>IF(ISBLANK(B10),"",B10)</f>
        <v/>
      </c>
      <c r="C48" s="187"/>
      <c r="D48" s="188"/>
      <c r="E48" s="186" t="str">
        <f>IF(ISBLANK(E10),"",E10)</f>
        <v/>
      </c>
      <c r="F48" s="187"/>
      <c r="G48" s="188"/>
      <c r="H48" s="186" t="str">
        <f>IF(ISBLANK(H10),"",H10)</f>
        <v/>
      </c>
      <c r="I48" s="187"/>
      <c r="J48" s="188"/>
      <c r="K48" s="186" t="str">
        <f>IF(ISBLANK(K10),"",K10)</f>
        <v/>
      </c>
      <c r="L48" s="187"/>
      <c r="M48" s="188"/>
      <c r="N48" s="186" t="str">
        <f>IF(ISBLANK(N10),"",N10)</f>
        <v/>
      </c>
      <c r="O48" s="187"/>
      <c r="P48" s="188"/>
      <c r="Q48" s="179"/>
      <c r="R48" s="180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15.75" customHeight="1" thickBot="1" x14ac:dyDescent="0.3">
      <c r="A49" s="158" t="s">
        <v>31</v>
      </c>
      <c r="B49" s="203">
        <f>SUM(B45:D47)</f>
        <v>0</v>
      </c>
      <c r="C49" s="187"/>
      <c r="D49" s="188"/>
      <c r="E49" s="198">
        <f>SUM(E45:G47)</f>
        <v>0</v>
      </c>
      <c r="F49" s="196"/>
      <c r="G49" s="197"/>
      <c r="H49" s="198">
        <f>SUM(H45:J47)</f>
        <v>0</v>
      </c>
      <c r="I49" s="196"/>
      <c r="J49" s="197"/>
      <c r="K49" s="198">
        <f>SUM(K45:M47)</f>
        <v>0</v>
      </c>
      <c r="L49" s="196"/>
      <c r="M49" s="197"/>
      <c r="N49" s="198">
        <f>SUM(N45:P47)</f>
        <v>0</v>
      </c>
      <c r="O49" s="196"/>
      <c r="P49" s="197"/>
      <c r="Q49" s="198">
        <f t="shared" ref="Q49:Q50" si="5">SUM(B49:P49)</f>
        <v>0</v>
      </c>
      <c r="R49" s="197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thickBot="1" x14ac:dyDescent="0.3">
      <c r="A50" s="120" t="s">
        <v>32</v>
      </c>
      <c r="B50" s="195">
        <f>(B45+B47)/((NETWORKDAYS($P$1,EOMONTH($P$1,0), HO))*8)</f>
        <v>0</v>
      </c>
      <c r="C50" s="196"/>
      <c r="D50" s="197"/>
      <c r="E50" s="195">
        <f>(E45+E47)/((NETWORKDAYS($P$1,EOMONTH($P$1,0), HO))*8)</f>
        <v>0</v>
      </c>
      <c r="F50" s="196"/>
      <c r="G50" s="197"/>
      <c r="H50" s="195">
        <f>(H45+H47)/((NETWORKDAYS($P$1,EOMONTH($P$1,0), HO))*8)</f>
        <v>0</v>
      </c>
      <c r="I50" s="196"/>
      <c r="J50" s="197"/>
      <c r="K50" s="195">
        <f>(K45+K47)/((NETWORKDAYS($P$1,EOMONTH($P$1,0), HO))*8)</f>
        <v>0</v>
      </c>
      <c r="L50" s="196"/>
      <c r="M50" s="197"/>
      <c r="N50" s="195">
        <f>(N45+N47)/((NETWORKDAYS($P$1,EOMONTH($P$1,0), HO))*8)</f>
        <v>0</v>
      </c>
      <c r="O50" s="196"/>
      <c r="P50" s="197"/>
      <c r="Q50" s="195">
        <f t="shared" si="5"/>
        <v>0</v>
      </c>
      <c r="R50" s="197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thickBot="1" x14ac:dyDescent="0.3">
      <c r="A51" s="120" t="s">
        <v>33</v>
      </c>
      <c r="B51" s="198">
        <f>R45+R47</f>
        <v>0</v>
      </c>
      <c r="C51" s="196"/>
      <c r="D51" s="197"/>
      <c r="E51" s="195" t="s">
        <v>21</v>
      </c>
      <c r="F51" s="196"/>
      <c r="G51" s="197"/>
      <c r="H51" s="198">
        <f>R46</f>
        <v>0</v>
      </c>
      <c r="I51" s="196"/>
      <c r="J51" s="197"/>
      <c r="K51" s="198">
        <f>R46</f>
        <v>0</v>
      </c>
      <c r="L51" s="196"/>
      <c r="M51" s="197"/>
      <c r="N51" s="195" t="s">
        <v>34</v>
      </c>
      <c r="O51" s="196"/>
      <c r="P51" s="197"/>
      <c r="Q51" s="198">
        <f>B51+H51</f>
        <v>0</v>
      </c>
      <c r="R51" s="197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24.75" customHeight="1" x14ac:dyDescent="0.25">
      <c r="A52" s="199" t="s">
        <v>35</v>
      </c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31.5" customHeight="1" thickBot="1" x14ac:dyDescent="0.3">
      <c r="A53" s="201" t="s">
        <v>36</v>
      </c>
      <c r="B53" s="201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202" t="s">
        <v>37</v>
      </c>
      <c r="P53" s="202"/>
      <c r="Q53" s="152"/>
      <c r="R53" s="152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15.75" customHeight="1" x14ac:dyDescent="0.25">
      <c r="A54" s="121"/>
      <c r="B54" s="90"/>
      <c r="C54" s="90"/>
      <c r="D54" s="91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193" t="s">
        <v>38</v>
      </c>
      <c r="B55" s="194"/>
      <c r="C55" s="125"/>
      <c r="D55" s="126"/>
      <c r="E55" s="38"/>
      <c r="F55" s="127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23.25" customHeight="1" x14ac:dyDescent="0.25">
      <c r="A56" s="193" t="s">
        <v>39</v>
      </c>
      <c r="B56" s="194"/>
      <c r="C56" s="123"/>
      <c r="D56" s="124"/>
      <c r="E56" s="123"/>
      <c r="F56" s="12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5.75" customHeight="1" x14ac:dyDescent="0.25">
      <c r="A57" s="122"/>
      <c r="B57" s="38"/>
      <c r="C57" s="38"/>
      <c r="D57" s="52"/>
      <c r="E57" s="38"/>
      <c r="F57" s="127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51"/>
      <c r="B58" s="38"/>
      <c r="C58" s="38"/>
      <c r="D58" s="52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33">
    <mergeCell ref="A52:R52"/>
    <mergeCell ref="A53:B53"/>
    <mergeCell ref="O53:P53"/>
    <mergeCell ref="A55:B55"/>
    <mergeCell ref="A56:B56"/>
    <mergeCell ref="B51:D51"/>
    <mergeCell ref="E51:G51"/>
    <mergeCell ref="H51:J51"/>
    <mergeCell ref="K51:M51"/>
    <mergeCell ref="N51:P51"/>
    <mergeCell ref="Q51:R51"/>
    <mergeCell ref="B50:D50"/>
    <mergeCell ref="E50:G50"/>
    <mergeCell ref="H50:J50"/>
    <mergeCell ref="K50:M50"/>
    <mergeCell ref="N50:P50"/>
    <mergeCell ref="Q50:R50"/>
    <mergeCell ref="Q48:R48"/>
    <mergeCell ref="B49:D49"/>
    <mergeCell ref="E49:G49"/>
    <mergeCell ref="H49:J49"/>
    <mergeCell ref="K49:M49"/>
    <mergeCell ref="N49:P49"/>
    <mergeCell ref="Q49:R49"/>
    <mergeCell ref="B47:D47"/>
    <mergeCell ref="E47:G47"/>
    <mergeCell ref="H47:J47"/>
    <mergeCell ref="K47:M47"/>
    <mergeCell ref="N47:P47"/>
    <mergeCell ref="B48:D48"/>
    <mergeCell ref="E48:G48"/>
    <mergeCell ref="H48:J48"/>
    <mergeCell ref="K48:M48"/>
    <mergeCell ref="N48:P48"/>
    <mergeCell ref="B45:D45"/>
    <mergeCell ref="E45:G45"/>
    <mergeCell ref="H45:J45"/>
    <mergeCell ref="K45:M45"/>
    <mergeCell ref="N45:P45"/>
    <mergeCell ref="B46:D46"/>
    <mergeCell ref="E46:G46"/>
    <mergeCell ref="H46:J46"/>
    <mergeCell ref="K46:M46"/>
    <mergeCell ref="N46:P46"/>
    <mergeCell ref="B44:D44"/>
    <mergeCell ref="E44:G44"/>
    <mergeCell ref="H44:J44"/>
    <mergeCell ref="K44:M44"/>
    <mergeCell ref="N44:P44"/>
    <mergeCell ref="Q44:R44"/>
    <mergeCell ref="B42:D42"/>
    <mergeCell ref="E42:G42"/>
    <mergeCell ref="H42:J42"/>
    <mergeCell ref="K42:M42"/>
    <mergeCell ref="N42:P42"/>
    <mergeCell ref="B43:D43"/>
    <mergeCell ref="E43:G43"/>
    <mergeCell ref="H43:J43"/>
    <mergeCell ref="K43:M43"/>
    <mergeCell ref="N43:P43"/>
    <mergeCell ref="Q38:R38"/>
    <mergeCell ref="Q39:R39"/>
    <mergeCell ref="Q40:R40"/>
    <mergeCell ref="B41:D41"/>
    <mergeCell ref="E41:G41"/>
    <mergeCell ref="H41:J41"/>
    <mergeCell ref="K41:M41"/>
    <mergeCell ref="N41:P41"/>
    <mergeCell ref="Q32:R32"/>
    <mergeCell ref="Q33:R33"/>
    <mergeCell ref="Q34:R34"/>
    <mergeCell ref="Q35:R35"/>
    <mergeCell ref="Q36:R36"/>
    <mergeCell ref="Q37:R37"/>
    <mergeCell ref="Q26:R26"/>
    <mergeCell ref="Q27:R27"/>
    <mergeCell ref="Q28:R28"/>
    <mergeCell ref="Q29:R29"/>
    <mergeCell ref="Q30:R30"/>
    <mergeCell ref="Q31:R31"/>
    <mergeCell ref="B24:D24"/>
    <mergeCell ref="E24:G24"/>
    <mergeCell ref="H24:J24"/>
    <mergeCell ref="K24:M24"/>
    <mergeCell ref="N24:P24"/>
    <mergeCell ref="B25:D25"/>
    <mergeCell ref="E25:G25"/>
    <mergeCell ref="H25:J25"/>
    <mergeCell ref="K25:M25"/>
    <mergeCell ref="N25:P25"/>
    <mergeCell ref="Q20:R20"/>
    <mergeCell ref="Q21:R21"/>
    <mergeCell ref="Q22:R22"/>
    <mergeCell ref="B23:D23"/>
    <mergeCell ref="E23:G23"/>
    <mergeCell ref="H23:J23"/>
    <mergeCell ref="K23:M23"/>
    <mergeCell ref="N23:P23"/>
    <mergeCell ref="Q14:R14"/>
    <mergeCell ref="Q15:R15"/>
    <mergeCell ref="Q16:R16"/>
    <mergeCell ref="Q17:R17"/>
    <mergeCell ref="Q18:R18"/>
    <mergeCell ref="Q19:R19"/>
    <mergeCell ref="Q8:R8"/>
    <mergeCell ref="Q9:R9"/>
    <mergeCell ref="Q10:R10"/>
    <mergeCell ref="Q11:R11"/>
    <mergeCell ref="Q12:R12"/>
    <mergeCell ref="Q13:R13"/>
    <mergeCell ref="N5:P5"/>
    <mergeCell ref="B6:D6"/>
    <mergeCell ref="E6:G6"/>
    <mergeCell ref="H6:J6"/>
    <mergeCell ref="K6:M6"/>
    <mergeCell ref="N6:P6"/>
    <mergeCell ref="A1:B1"/>
    <mergeCell ref="C1:O1"/>
    <mergeCell ref="P1:R1"/>
    <mergeCell ref="A2:B2"/>
    <mergeCell ref="C2:R2"/>
    <mergeCell ref="A3:B3"/>
    <mergeCell ref="C3:R3"/>
    <mergeCell ref="B4:D4"/>
    <mergeCell ref="E4:G4"/>
    <mergeCell ref="H4:J4"/>
    <mergeCell ref="K4:M4"/>
    <mergeCell ref="N4:P4"/>
    <mergeCell ref="Q4:R7"/>
    <mergeCell ref="B5:D5"/>
    <mergeCell ref="E5:G5"/>
    <mergeCell ref="H5:J5"/>
    <mergeCell ref="K5:M5"/>
  </mergeCells>
  <conditionalFormatting sqref="B23 K41:N41">
    <cfRule type="cellIs" dxfId="789" priority="7" operator="greaterThan">
      <formula>0</formula>
    </cfRule>
  </conditionalFormatting>
  <conditionalFormatting sqref="B24 K42:N42">
    <cfRule type="cellIs" dxfId="788" priority="4" operator="greaterThan">
      <formula>1</formula>
    </cfRule>
  </conditionalFormatting>
  <conditionalFormatting sqref="B24:B25 K43:N43">
    <cfRule type="cellIs" dxfId="787" priority="6" operator="greaterThan">
      <formula>0</formula>
    </cfRule>
  </conditionalFormatting>
  <conditionalFormatting sqref="B41">
    <cfRule type="cellIs" dxfId="786" priority="20" operator="greaterThan">
      <formula>0</formula>
    </cfRule>
  </conditionalFormatting>
  <conditionalFormatting sqref="B42">
    <cfRule type="cellIs" dxfId="785" priority="77" operator="greaterThan">
      <formula>1</formula>
    </cfRule>
    <cfRule type="cellIs" dxfId="784" priority="17" operator="greaterThan">
      <formula>1</formula>
    </cfRule>
  </conditionalFormatting>
  <conditionalFormatting sqref="B42:B43">
    <cfRule type="cellIs" dxfId="783" priority="19" operator="greaterThan">
      <formula>0</formula>
    </cfRule>
    <cfRule type="cellIs" dxfId="782" priority="79" operator="greaterThan">
      <formula>0</formula>
    </cfRule>
  </conditionalFormatting>
  <conditionalFormatting sqref="B45">
    <cfRule type="cellIs" dxfId="781" priority="14" operator="greaterThan">
      <formula>0</formula>
    </cfRule>
  </conditionalFormatting>
  <conditionalFormatting sqref="B46">
    <cfRule type="cellIs" dxfId="780" priority="11" operator="greaterThan">
      <formula>1</formula>
    </cfRule>
  </conditionalFormatting>
  <conditionalFormatting sqref="B46:B47">
    <cfRule type="cellIs" dxfId="779" priority="13" operator="greaterThan">
      <formula>0</formula>
    </cfRule>
  </conditionalFormatting>
  <conditionalFormatting sqref="B25:D25">
    <cfRule type="cellIs" dxfId="778" priority="52" operator="greaterThan">
      <formula>0</formula>
    </cfRule>
  </conditionalFormatting>
  <conditionalFormatting sqref="B43:D43">
    <cfRule type="cellIs" dxfId="777" priority="82" operator="greaterThan">
      <formula>0</formula>
    </cfRule>
  </conditionalFormatting>
  <conditionalFormatting sqref="B47:M47">
    <cfRule type="cellIs" dxfId="776" priority="119" operator="greaterThan">
      <formula>0</formula>
    </cfRule>
  </conditionalFormatting>
  <conditionalFormatting sqref="B49:M49">
    <cfRule type="cellIs" dxfId="775" priority="16" operator="greaterThan">
      <formula>0</formula>
    </cfRule>
  </conditionalFormatting>
  <conditionalFormatting sqref="B4:P5">
    <cfRule type="containsBlanks" dxfId="774" priority="1">
      <formula>LEN(TRIM(B4))=0</formula>
    </cfRule>
  </conditionalFormatting>
  <conditionalFormatting sqref="B47:P47 R47">
    <cfRule type="cellIs" dxfId="773" priority="10" operator="greaterThan">
      <formula>0</formula>
    </cfRule>
  </conditionalFormatting>
  <conditionalFormatting sqref="C2:R3">
    <cfRule type="containsBlanks" dxfId="772" priority="2">
      <formula>LEN(TRIM(C2))=0</formula>
    </cfRule>
  </conditionalFormatting>
  <conditionalFormatting sqref="E24">
    <cfRule type="cellIs" dxfId="771" priority="53" operator="greaterThan">
      <formula>1</formula>
    </cfRule>
  </conditionalFormatting>
  <conditionalFormatting sqref="E24:E25">
    <cfRule type="cellIs" dxfId="770" priority="55" operator="greaterThan">
      <formula>0</formula>
    </cfRule>
  </conditionalFormatting>
  <conditionalFormatting sqref="E41">
    <cfRule type="cellIs" dxfId="769" priority="25" operator="greaterThan">
      <formula>0</formula>
    </cfRule>
  </conditionalFormatting>
  <conditionalFormatting sqref="E42">
    <cfRule type="cellIs" dxfId="768" priority="22" operator="greaterThan">
      <formula>1</formula>
    </cfRule>
    <cfRule type="cellIs" dxfId="767" priority="83" operator="greaterThan">
      <formula>1</formula>
    </cfRule>
    <cfRule type="cellIs" dxfId="766" priority="88" operator="greaterThan">
      <formula>1</formula>
    </cfRule>
  </conditionalFormatting>
  <conditionalFormatting sqref="E42:E43">
    <cfRule type="cellIs" dxfId="765" priority="24" operator="greaterThan">
      <formula>0</formula>
    </cfRule>
    <cfRule type="cellIs" dxfId="764" priority="85" operator="greaterThan">
      <formula>0</formula>
    </cfRule>
    <cfRule type="cellIs" dxfId="763" priority="90" operator="greaterThan">
      <formula>0</formula>
    </cfRule>
  </conditionalFormatting>
  <conditionalFormatting sqref="E45">
    <cfRule type="cellIs" dxfId="762" priority="40" operator="greaterThan">
      <formula>0</formula>
    </cfRule>
  </conditionalFormatting>
  <conditionalFormatting sqref="E46">
    <cfRule type="cellIs" dxfId="761" priority="37" operator="greaterThan">
      <formula>1</formula>
    </cfRule>
  </conditionalFormatting>
  <conditionalFormatting sqref="E46:E47">
    <cfRule type="cellIs" dxfId="760" priority="39" operator="greaterThan">
      <formula>0</formula>
    </cfRule>
  </conditionalFormatting>
  <conditionalFormatting sqref="E25:G25">
    <cfRule type="cellIs" dxfId="759" priority="58" operator="greaterThan">
      <formula>0</formula>
    </cfRule>
  </conditionalFormatting>
  <conditionalFormatting sqref="E43:G43">
    <cfRule type="cellIs" dxfId="758" priority="93" operator="greaterThan">
      <formula>0</formula>
    </cfRule>
  </conditionalFormatting>
  <conditionalFormatting sqref="E23:H23">
    <cfRule type="cellIs" dxfId="757" priority="56" operator="greaterThan">
      <formula>0</formula>
    </cfRule>
  </conditionalFormatting>
  <conditionalFormatting sqref="E24:M24">
    <cfRule type="cellIs" dxfId="756" priority="72" operator="greaterThan">
      <formula>0</formula>
    </cfRule>
  </conditionalFormatting>
  <conditionalFormatting sqref="E42:M42">
    <cfRule type="cellIs" dxfId="755" priority="116" operator="greaterThan">
      <formula>0</formula>
    </cfRule>
  </conditionalFormatting>
  <conditionalFormatting sqref="H24">
    <cfRule type="cellIs" dxfId="754" priority="59" operator="greaterThan">
      <formula>1</formula>
    </cfRule>
  </conditionalFormatting>
  <conditionalFormatting sqref="H24:H25">
    <cfRule type="cellIs" dxfId="753" priority="61" operator="greaterThan">
      <formula>0</formula>
    </cfRule>
  </conditionalFormatting>
  <conditionalFormatting sqref="H41">
    <cfRule type="cellIs" dxfId="752" priority="30" operator="greaterThan">
      <formula>0</formula>
    </cfRule>
  </conditionalFormatting>
  <conditionalFormatting sqref="H42">
    <cfRule type="cellIs" dxfId="751" priority="27" operator="greaterThan">
      <formula>1</formula>
    </cfRule>
    <cfRule type="cellIs" dxfId="750" priority="99" operator="greaterThan">
      <formula>1</formula>
    </cfRule>
    <cfRule type="cellIs" dxfId="749" priority="94" operator="greaterThan">
      <formula>1</formula>
    </cfRule>
  </conditionalFormatting>
  <conditionalFormatting sqref="H42:H43">
    <cfRule type="cellIs" dxfId="748" priority="29" operator="greaterThan">
      <formula>0</formula>
    </cfRule>
    <cfRule type="cellIs" dxfId="747" priority="96" operator="greaterThan">
      <formula>0</formula>
    </cfRule>
    <cfRule type="cellIs" dxfId="746" priority="101" operator="greaterThan">
      <formula>0</formula>
    </cfRule>
  </conditionalFormatting>
  <conditionalFormatting sqref="H45">
    <cfRule type="cellIs" dxfId="745" priority="45" operator="greaterThan">
      <formula>0</formula>
    </cfRule>
  </conditionalFormatting>
  <conditionalFormatting sqref="H46">
    <cfRule type="cellIs" dxfId="744" priority="42" operator="greaterThan">
      <formula>1</formula>
    </cfRule>
  </conditionalFormatting>
  <conditionalFormatting sqref="H46:H47">
    <cfRule type="cellIs" dxfId="743" priority="44" operator="greaterThan">
      <formula>0</formula>
    </cfRule>
  </conditionalFormatting>
  <conditionalFormatting sqref="H25:J25">
    <cfRule type="cellIs" dxfId="742" priority="64" operator="greaterThan">
      <formula>0</formula>
    </cfRule>
  </conditionalFormatting>
  <conditionalFormatting sqref="H43:J43">
    <cfRule type="cellIs" dxfId="741" priority="104" operator="greaterThan">
      <formula>0</formula>
    </cfRule>
  </conditionalFormatting>
  <conditionalFormatting sqref="K24">
    <cfRule type="cellIs" dxfId="740" priority="66" operator="greaterThan">
      <formula>1</formula>
    </cfRule>
  </conditionalFormatting>
  <conditionalFormatting sqref="K24:K25">
    <cfRule type="cellIs" dxfId="739" priority="68" operator="greaterThan">
      <formula>0</formula>
    </cfRule>
  </conditionalFormatting>
  <conditionalFormatting sqref="K42">
    <cfRule type="cellIs" dxfId="738" priority="105" operator="greaterThan">
      <formula>1</formula>
    </cfRule>
    <cfRule type="cellIs" dxfId="737" priority="110" operator="greaterThan">
      <formula>1</formula>
    </cfRule>
  </conditionalFormatting>
  <conditionalFormatting sqref="K42:K43">
    <cfRule type="cellIs" dxfId="736" priority="34" operator="greaterThan">
      <formula>0</formula>
    </cfRule>
    <cfRule type="cellIs" dxfId="735" priority="107" operator="greaterThan">
      <formula>0</formula>
    </cfRule>
    <cfRule type="cellIs" dxfId="734" priority="112" operator="greaterThan">
      <formula>0</formula>
    </cfRule>
  </conditionalFormatting>
  <conditionalFormatting sqref="K45">
    <cfRule type="cellIs" dxfId="733" priority="50" operator="greaterThan">
      <formula>0</formula>
    </cfRule>
  </conditionalFormatting>
  <conditionalFormatting sqref="K46">
    <cfRule type="cellIs" dxfId="732" priority="47" operator="greaterThan">
      <formula>1</formula>
    </cfRule>
  </conditionalFormatting>
  <conditionalFormatting sqref="K46:K47">
    <cfRule type="cellIs" dxfId="731" priority="49" operator="greaterThan">
      <formula>0</formula>
    </cfRule>
  </conditionalFormatting>
  <conditionalFormatting sqref="K23:M23">
    <cfRule type="cellIs" dxfId="730" priority="69" operator="greaterThan">
      <formula>0</formula>
    </cfRule>
  </conditionalFormatting>
  <conditionalFormatting sqref="K25:M25">
    <cfRule type="cellIs" dxfId="729" priority="71" operator="greaterThan">
      <formula>0</formula>
    </cfRule>
  </conditionalFormatting>
  <conditionalFormatting sqref="K43:M43">
    <cfRule type="cellIs" dxfId="728" priority="115" operator="greaterThan">
      <formula>0</formula>
    </cfRule>
  </conditionalFormatting>
  <conditionalFormatting sqref="K46:M46">
    <cfRule type="cellIs" dxfId="727" priority="120" operator="greaterThan">
      <formula>0</formula>
    </cfRule>
  </conditionalFormatting>
  <conditionalFormatting sqref="K46:P46">
    <cfRule type="cellIs" dxfId="726" priority="9" operator="greaterThan">
      <formula>0</formula>
    </cfRule>
  </conditionalFormatting>
  <pageMargins left="0.25" right="0.25" top="0.75" bottom="0.75" header="0.3" footer="0.3"/>
  <pageSetup scale="7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4C8B-2DF0-4519-87D5-F291F8324936}">
  <sheetPr>
    <outlinePr summaryBelow="0" summaryRight="0"/>
    <pageSetUpPr fitToPage="1"/>
  </sheetPr>
  <dimension ref="A1:AC999"/>
  <sheetViews>
    <sheetView zoomScale="80" zoomScaleNormal="100" workbookViewId="0">
      <selection activeCell="A19" sqref="A19"/>
    </sheetView>
  </sheetViews>
  <sheetFormatPr defaultColWidth="14.44140625" defaultRowHeight="15" customHeight="1" x14ac:dyDescent="0.25"/>
  <cols>
    <col min="1" max="1" width="24" customWidth="1"/>
    <col min="2" max="16" width="5.33203125" customWidth="1"/>
    <col min="17" max="17" width="17.5546875" bestFit="1" customWidth="1"/>
    <col min="18" max="18" width="15.332031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41.25" customHeight="1" thickBot="1" x14ac:dyDescent="0.35">
      <c r="A1" s="228" t="s">
        <v>0</v>
      </c>
      <c r="B1" s="229"/>
      <c r="C1" s="230" t="s">
        <v>1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2">
        <v>46296</v>
      </c>
      <c r="Q1" s="231"/>
      <c r="R1" s="231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233" t="s">
        <v>2</v>
      </c>
      <c r="B2" s="215"/>
      <c r="C2" s="225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7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8" thickBot="1" x14ac:dyDescent="0.35">
      <c r="A3" s="247" t="s">
        <v>3</v>
      </c>
      <c r="B3" s="183"/>
      <c r="C3" s="234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6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54" customHeight="1" x14ac:dyDescent="0.25">
      <c r="A4" s="92" t="s">
        <v>4</v>
      </c>
      <c r="B4" s="240"/>
      <c r="C4" s="241"/>
      <c r="D4" s="242"/>
      <c r="E4" s="240"/>
      <c r="F4" s="241"/>
      <c r="G4" s="242"/>
      <c r="H4" s="240"/>
      <c r="I4" s="241"/>
      <c r="J4" s="242"/>
      <c r="K4" s="240"/>
      <c r="L4" s="241"/>
      <c r="M4" s="242"/>
      <c r="N4" s="240"/>
      <c r="O4" s="241"/>
      <c r="P4" s="242"/>
      <c r="Q4" s="243" t="s">
        <v>5</v>
      </c>
      <c r="R4" s="244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93" t="s">
        <v>6</v>
      </c>
      <c r="B5" s="237"/>
      <c r="C5" s="238"/>
      <c r="D5" s="239"/>
      <c r="E5" s="237"/>
      <c r="F5" s="238"/>
      <c r="G5" s="239"/>
      <c r="H5" s="237"/>
      <c r="I5" s="238"/>
      <c r="J5" s="239"/>
      <c r="K5" s="237"/>
      <c r="L5" s="238"/>
      <c r="M5" s="239"/>
      <c r="N5" s="237"/>
      <c r="O5" s="238"/>
      <c r="P5" s="239"/>
      <c r="Q5" s="245"/>
      <c r="R5" s="180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thickBot="1" x14ac:dyDescent="0.3">
      <c r="A6" s="94" t="s">
        <v>7</v>
      </c>
      <c r="B6" s="237"/>
      <c r="C6" s="238"/>
      <c r="D6" s="239"/>
      <c r="E6" s="237"/>
      <c r="F6" s="238"/>
      <c r="G6" s="239"/>
      <c r="H6" s="237"/>
      <c r="I6" s="238"/>
      <c r="J6" s="239"/>
      <c r="K6" s="237"/>
      <c r="L6" s="238"/>
      <c r="M6" s="239"/>
      <c r="N6" s="237"/>
      <c r="O6" s="238"/>
      <c r="P6" s="239"/>
      <c r="Q6" s="245"/>
      <c r="R6" s="180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thickBot="1" x14ac:dyDescent="0.3">
      <c r="A7" s="153"/>
      <c r="B7" s="95" t="s">
        <v>8</v>
      </c>
      <c r="C7" s="96" t="s">
        <v>9</v>
      </c>
      <c r="D7" s="97" t="s">
        <v>10</v>
      </c>
      <c r="E7" s="95" t="s">
        <v>8</v>
      </c>
      <c r="F7" s="96" t="s">
        <v>9</v>
      </c>
      <c r="G7" s="97" t="s">
        <v>10</v>
      </c>
      <c r="H7" s="95" t="s">
        <v>8</v>
      </c>
      <c r="I7" s="96" t="s">
        <v>9</v>
      </c>
      <c r="J7" s="97" t="s">
        <v>10</v>
      </c>
      <c r="K7" s="95" t="s">
        <v>8</v>
      </c>
      <c r="L7" s="96" t="s">
        <v>9</v>
      </c>
      <c r="M7" s="97" t="s">
        <v>10</v>
      </c>
      <c r="N7" s="95" t="s">
        <v>8</v>
      </c>
      <c r="O7" s="96" t="s">
        <v>9</v>
      </c>
      <c r="P7" s="97" t="s">
        <v>10</v>
      </c>
      <c r="Q7" s="246"/>
      <c r="R7" s="188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8" x14ac:dyDescent="0.25">
      <c r="A8" s="98">
        <v>46296</v>
      </c>
      <c r="B8" s="140"/>
      <c r="C8" s="141"/>
      <c r="D8" s="142"/>
      <c r="E8" s="143"/>
      <c r="F8" s="141"/>
      <c r="G8" s="142"/>
      <c r="H8" s="143"/>
      <c r="I8" s="141"/>
      <c r="J8" s="142"/>
      <c r="K8" s="143"/>
      <c r="L8" s="141"/>
      <c r="M8" s="142"/>
      <c r="N8" s="143"/>
      <c r="O8" s="141"/>
      <c r="P8" s="142"/>
      <c r="Q8" s="248"/>
      <c r="R8" s="20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8" x14ac:dyDescent="0.25">
      <c r="A9" s="99">
        <f t="shared" ref="A9:A22" si="0">A8+1</f>
        <v>46297</v>
      </c>
      <c r="B9" s="133"/>
      <c r="C9" s="134"/>
      <c r="D9" s="135"/>
      <c r="E9" s="136"/>
      <c r="F9" s="134"/>
      <c r="G9" s="135"/>
      <c r="H9" s="136"/>
      <c r="I9" s="134"/>
      <c r="J9" s="135"/>
      <c r="K9" s="136"/>
      <c r="L9" s="134"/>
      <c r="M9" s="135"/>
      <c r="N9" s="136"/>
      <c r="O9" s="134"/>
      <c r="P9" s="135"/>
      <c r="Q9" s="224"/>
      <c r="R9" s="191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3.8" x14ac:dyDescent="0.25">
      <c r="A10" s="100">
        <f t="shared" si="0"/>
        <v>46298</v>
      </c>
      <c r="B10" s="140"/>
      <c r="C10" s="137"/>
      <c r="D10" s="138"/>
      <c r="E10" s="139"/>
      <c r="F10" s="137"/>
      <c r="G10" s="138"/>
      <c r="H10" s="139"/>
      <c r="I10" s="137"/>
      <c r="J10" s="138"/>
      <c r="K10" s="139"/>
      <c r="L10" s="137"/>
      <c r="M10" s="138"/>
      <c r="N10" s="139"/>
      <c r="O10" s="137"/>
      <c r="P10" s="138"/>
      <c r="Q10" s="204"/>
      <c r="R10" s="191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8" x14ac:dyDescent="0.25">
      <c r="A11" s="100">
        <f t="shared" si="0"/>
        <v>46299</v>
      </c>
      <c r="B11" s="140"/>
      <c r="C11" s="137"/>
      <c r="D11" s="138"/>
      <c r="E11" s="139"/>
      <c r="F11" s="137"/>
      <c r="G11" s="138"/>
      <c r="H11" s="139"/>
      <c r="I11" s="137"/>
      <c r="J11" s="138"/>
      <c r="K11" s="139"/>
      <c r="L11" s="137"/>
      <c r="M11" s="138"/>
      <c r="N11" s="139"/>
      <c r="O11" s="137"/>
      <c r="P11" s="138"/>
      <c r="Q11" s="204"/>
      <c r="R11" s="191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8" x14ac:dyDescent="0.25">
      <c r="A12" s="100">
        <f t="shared" si="0"/>
        <v>46300</v>
      </c>
      <c r="B12" s="140"/>
      <c r="C12" s="137"/>
      <c r="D12" s="138"/>
      <c r="E12" s="139"/>
      <c r="F12" s="137"/>
      <c r="G12" s="138"/>
      <c r="H12" s="139"/>
      <c r="I12" s="137"/>
      <c r="J12" s="138"/>
      <c r="K12" s="139"/>
      <c r="L12" s="137"/>
      <c r="M12" s="138"/>
      <c r="N12" s="139"/>
      <c r="O12" s="137"/>
      <c r="P12" s="138"/>
      <c r="Q12" s="204"/>
      <c r="R12" s="191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8" x14ac:dyDescent="0.25">
      <c r="A13" s="100">
        <f t="shared" si="0"/>
        <v>46301</v>
      </c>
      <c r="B13" s="140"/>
      <c r="C13" s="137"/>
      <c r="D13" s="138"/>
      <c r="E13" s="139"/>
      <c r="F13" s="137"/>
      <c r="G13" s="138"/>
      <c r="H13" s="139"/>
      <c r="I13" s="137"/>
      <c r="J13" s="138"/>
      <c r="K13" s="139"/>
      <c r="L13" s="137"/>
      <c r="M13" s="138"/>
      <c r="N13" s="139"/>
      <c r="O13" s="137"/>
      <c r="P13" s="138"/>
      <c r="Q13" s="204"/>
      <c r="R13" s="191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8" x14ac:dyDescent="0.25">
      <c r="A14" s="100">
        <f t="shared" si="0"/>
        <v>46302</v>
      </c>
      <c r="B14" s="140"/>
      <c r="C14" s="137"/>
      <c r="D14" s="138"/>
      <c r="E14" s="139"/>
      <c r="F14" s="137"/>
      <c r="G14" s="138"/>
      <c r="H14" s="139"/>
      <c r="I14" s="137"/>
      <c r="J14" s="138"/>
      <c r="K14" s="139"/>
      <c r="L14" s="137"/>
      <c r="M14" s="138"/>
      <c r="N14" s="139"/>
      <c r="O14" s="137"/>
      <c r="P14" s="138"/>
      <c r="Q14" s="204"/>
      <c r="R14" s="191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8" x14ac:dyDescent="0.25">
      <c r="A15" s="100">
        <f t="shared" si="0"/>
        <v>46303</v>
      </c>
      <c r="B15" s="140"/>
      <c r="C15" s="137"/>
      <c r="D15" s="138"/>
      <c r="E15" s="139"/>
      <c r="F15" s="137"/>
      <c r="G15" s="138"/>
      <c r="H15" s="139"/>
      <c r="I15" s="137"/>
      <c r="J15" s="138"/>
      <c r="K15" s="139"/>
      <c r="L15" s="137"/>
      <c r="M15" s="138"/>
      <c r="N15" s="139"/>
      <c r="O15" s="137"/>
      <c r="P15" s="138"/>
      <c r="Q15" s="205"/>
      <c r="R15" s="191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8" x14ac:dyDescent="0.25">
      <c r="A16" s="100">
        <f t="shared" si="0"/>
        <v>46304</v>
      </c>
      <c r="B16" s="140"/>
      <c r="C16" s="137"/>
      <c r="D16" s="138"/>
      <c r="E16" s="139"/>
      <c r="F16" s="137"/>
      <c r="G16" s="138"/>
      <c r="H16" s="139"/>
      <c r="I16" s="137"/>
      <c r="J16" s="138"/>
      <c r="K16" s="139"/>
      <c r="L16" s="137"/>
      <c r="M16" s="138"/>
      <c r="N16" s="139"/>
      <c r="O16" s="137"/>
      <c r="P16" s="138"/>
      <c r="Q16" s="205"/>
      <c r="R16" s="191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4.4" x14ac:dyDescent="0.3">
      <c r="A17" s="100">
        <f t="shared" si="0"/>
        <v>46305</v>
      </c>
      <c r="B17" s="140"/>
      <c r="C17" s="137"/>
      <c r="D17" s="138"/>
      <c r="E17" s="139"/>
      <c r="F17" s="137"/>
      <c r="G17" s="138"/>
      <c r="H17" s="139"/>
      <c r="I17" s="137"/>
      <c r="J17" s="138"/>
      <c r="K17" s="139"/>
      <c r="L17" s="137"/>
      <c r="M17" s="138"/>
      <c r="N17" s="139"/>
      <c r="O17" s="137"/>
      <c r="P17" s="138"/>
      <c r="Q17" s="204"/>
      <c r="R17" s="191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4.4" x14ac:dyDescent="0.3">
      <c r="A18" s="100">
        <f t="shared" si="0"/>
        <v>46306</v>
      </c>
      <c r="B18" s="140"/>
      <c r="C18" s="137"/>
      <c r="D18" s="138"/>
      <c r="E18" s="139"/>
      <c r="F18" s="137"/>
      <c r="G18" s="138"/>
      <c r="H18" s="139"/>
      <c r="I18" s="137"/>
      <c r="J18" s="138"/>
      <c r="K18" s="139"/>
      <c r="L18" s="137"/>
      <c r="M18" s="138"/>
      <c r="N18" s="139"/>
      <c r="O18" s="137"/>
      <c r="P18" s="138"/>
      <c r="Q18" s="205"/>
      <c r="R18" s="191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4.4" x14ac:dyDescent="0.3">
      <c r="A19" s="100">
        <f t="shared" si="0"/>
        <v>46307</v>
      </c>
      <c r="B19" s="140"/>
      <c r="C19" s="137"/>
      <c r="D19" s="138"/>
      <c r="E19" s="139"/>
      <c r="F19" s="137"/>
      <c r="G19" s="138"/>
      <c r="H19" s="139"/>
      <c r="I19" s="137"/>
      <c r="J19" s="138"/>
      <c r="K19" s="139"/>
      <c r="L19" s="137"/>
      <c r="M19" s="138"/>
      <c r="N19" s="139"/>
      <c r="O19" s="137"/>
      <c r="P19" s="138"/>
      <c r="Q19" s="204" t="s">
        <v>51</v>
      </c>
      <c r="R19" s="191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4.4" x14ac:dyDescent="0.3">
      <c r="A20" s="100">
        <f t="shared" si="0"/>
        <v>46308</v>
      </c>
      <c r="B20" s="140"/>
      <c r="C20" s="137"/>
      <c r="D20" s="138"/>
      <c r="E20" s="139"/>
      <c r="F20" s="137"/>
      <c r="G20" s="138"/>
      <c r="H20" s="139"/>
      <c r="I20" s="137"/>
      <c r="J20" s="138"/>
      <c r="K20" s="139"/>
      <c r="L20" s="137"/>
      <c r="M20" s="138"/>
      <c r="N20" s="139"/>
      <c r="O20" s="137"/>
      <c r="P20" s="138"/>
      <c r="Q20" s="204"/>
      <c r="R20" s="191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100">
        <f t="shared" si="0"/>
        <v>46309</v>
      </c>
      <c r="B21" s="140"/>
      <c r="C21" s="137"/>
      <c r="D21" s="138"/>
      <c r="E21" s="139"/>
      <c r="F21" s="137"/>
      <c r="G21" s="138"/>
      <c r="H21" s="139"/>
      <c r="I21" s="137"/>
      <c r="J21" s="138"/>
      <c r="K21" s="139"/>
      <c r="L21" s="137"/>
      <c r="M21" s="138"/>
      <c r="N21" s="139"/>
      <c r="O21" s="137"/>
      <c r="P21" s="138"/>
      <c r="Q21" s="204"/>
      <c r="R21" s="191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thickBot="1" x14ac:dyDescent="0.35">
      <c r="A22" s="101">
        <f t="shared" si="0"/>
        <v>46310</v>
      </c>
      <c r="B22" s="140"/>
      <c r="C22" s="154"/>
      <c r="D22" s="155"/>
      <c r="E22" s="156"/>
      <c r="F22" s="154"/>
      <c r="G22" s="155"/>
      <c r="H22" s="156"/>
      <c r="I22" s="154"/>
      <c r="J22" s="155"/>
      <c r="K22" s="156"/>
      <c r="L22" s="154"/>
      <c r="M22" s="155"/>
      <c r="N22" s="156"/>
      <c r="O22" s="154"/>
      <c r="P22" s="155"/>
      <c r="Q22" s="212"/>
      <c r="R22" s="213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102" t="s">
        <v>17</v>
      </c>
      <c r="B23" s="214">
        <f>SUM(B8:B22)</f>
        <v>0</v>
      </c>
      <c r="C23" s="207"/>
      <c r="D23" s="208"/>
      <c r="E23" s="214">
        <f>SUM(E8:E22)</f>
        <v>0</v>
      </c>
      <c r="F23" s="207"/>
      <c r="G23" s="208"/>
      <c r="H23" s="214">
        <f>SUM(H8:H22)</f>
        <v>0</v>
      </c>
      <c r="I23" s="207"/>
      <c r="J23" s="208"/>
      <c r="K23" s="214">
        <f>SUM(K8:K22)</f>
        <v>0</v>
      </c>
      <c r="L23" s="207"/>
      <c r="M23" s="208"/>
      <c r="N23" s="214">
        <f>SUM(N8:N22)</f>
        <v>0</v>
      </c>
      <c r="O23" s="207"/>
      <c r="P23" s="208"/>
      <c r="Q23" s="103" t="s">
        <v>18</v>
      </c>
      <c r="R23" s="104">
        <f t="shared" ref="R23:R25" si="1">SUM(B23:P23)</f>
        <v>0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25">
      <c r="A24" s="105" t="s">
        <v>20</v>
      </c>
      <c r="B24" s="192">
        <f>SUM(C8:C23)</f>
        <v>0</v>
      </c>
      <c r="C24" s="190"/>
      <c r="D24" s="191"/>
      <c r="E24" s="192">
        <f>SUM(F8:F23)</f>
        <v>0</v>
      </c>
      <c r="F24" s="190"/>
      <c r="G24" s="191"/>
      <c r="H24" s="192">
        <f>SUM(I8:I23)</f>
        <v>0</v>
      </c>
      <c r="I24" s="190"/>
      <c r="J24" s="191"/>
      <c r="K24" s="192">
        <f>SUM(L8:L23)</f>
        <v>0</v>
      </c>
      <c r="L24" s="190"/>
      <c r="M24" s="191"/>
      <c r="N24" s="192">
        <f>SUM(O8:O23)</f>
        <v>0</v>
      </c>
      <c r="O24" s="190"/>
      <c r="P24" s="191"/>
      <c r="Q24" s="106" t="s">
        <v>21</v>
      </c>
      <c r="R24" s="107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thickBot="1" x14ac:dyDescent="0.3">
      <c r="A25" s="108" t="s">
        <v>22</v>
      </c>
      <c r="B25" s="181">
        <f>SUM(D8:D22)</f>
        <v>0</v>
      </c>
      <c r="C25" s="182"/>
      <c r="D25" s="185"/>
      <c r="E25" s="181">
        <f>SUM(G8:G22)</f>
        <v>0</v>
      </c>
      <c r="F25" s="182"/>
      <c r="G25" s="185"/>
      <c r="H25" s="181">
        <f>SUM(J8:J22)</f>
        <v>0</v>
      </c>
      <c r="I25" s="182"/>
      <c r="J25" s="185"/>
      <c r="K25" s="181">
        <f>SUM(M8:M22)</f>
        <v>0</v>
      </c>
      <c r="L25" s="182"/>
      <c r="M25" s="185"/>
      <c r="N25" s="181">
        <f>SUM(P8:P22)</f>
        <v>0</v>
      </c>
      <c r="O25" s="182"/>
      <c r="P25" s="185"/>
      <c r="Q25" s="109" t="s">
        <v>23</v>
      </c>
      <c r="R25" s="110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98">
        <f>A22+1</f>
        <v>46311</v>
      </c>
      <c r="B26" s="151"/>
      <c r="C26" s="159"/>
      <c r="D26" s="160"/>
      <c r="E26" s="161"/>
      <c r="F26" s="159"/>
      <c r="G26" s="160"/>
      <c r="H26" s="161"/>
      <c r="I26" s="159"/>
      <c r="J26" s="160"/>
      <c r="K26" s="161"/>
      <c r="L26" s="159"/>
      <c r="M26" s="160"/>
      <c r="N26" s="161"/>
      <c r="O26" s="159"/>
      <c r="P26" s="160"/>
      <c r="Q26" s="255"/>
      <c r="R26" s="211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100">
        <f t="shared" ref="A27:A41" si="2">A26+1</f>
        <v>46312</v>
      </c>
      <c r="B27" s="151"/>
      <c r="C27" s="137"/>
      <c r="D27" s="138"/>
      <c r="E27" s="139"/>
      <c r="F27" s="137"/>
      <c r="G27" s="138"/>
      <c r="H27" s="139"/>
      <c r="I27" s="137"/>
      <c r="J27" s="138"/>
      <c r="K27" s="139"/>
      <c r="L27" s="137"/>
      <c r="M27" s="138"/>
      <c r="N27" s="139"/>
      <c r="O27" s="137"/>
      <c r="P27" s="138"/>
      <c r="Q27" s="219"/>
      <c r="R27" s="220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100">
        <f t="shared" si="2"/>
        <v>46313</v>
      </c>
      <c r="B28" s="151"/>
      <c r="C28" s="137"/>
      <c r="D28" s="138"/>
      <c r="E28" s="139"/>
      <c r="F28" s="137"/>
      <c r="G28" s="138"/>
      <c r="H28" s="139"/>
      <c r="I28" s="137"/>
      <c r="J28" s="138"/>
      <c r="K28" s="139"/>
      <c r="L28" s="137"/>
      <c r="M28" s="138"/>
      <c r="N28" s="139"/>
      <c r="O28" s="137"/>
      <c r="P28" s="138"/>
      <c r="Q28" s="204"/>
      <c r="R28" s="191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100">
        <f t="shared" si="2"/>
        <v>46314</v>
      </c>
      <c r="B29" s="151"/>
      <c r="C29" s="137"/>
      <c r="D29" s="138"/>
      <c r="E29" s="139"/>
      <c r="F29" s="137"/>
      <c r="G29" s="138"/>
      <c r="H29" s="139"/>
      <c r="I29" s="137"/>
      <c r="J29" s="138"/>
      <c r="K29" s="139"/>
      <c r="L29" s="137"/>
      <c r="M29" s="138"/>
      <c r="N29" s="139"/>
      <c r="O29" s="137"/>
      <c r="P29" s="138"/>
      <c r="Q29" s="204"/>
      <c r="R29" s="191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100">
        <f t="shared" si="2"/>
        <v>46315</v>
      </c>
      <c r="B30" s="151"/>
      <c r="C30" s="137"/>
      <c r="D30" s="138"/>
      <c r="E30" s="139"/>
      <c r="F30" s="137"/>
      <c r="G30" s="138"/>
      <c r="H30" s="139"/>
      <c r="I30" s="137"/>
      <c r="J30" s="138"/>
      <c r="K30" s="139"/>
      <c r="L30" s="137"/>
      <c r="M30" s="138"/>
      <c r="N30" s="139"/>
      <c r="O30" s="137"/>
      <c r="P30" s="138"/>
      <c r="Q30" s="204"/>
      <c r="R30" s="191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100">
        <f t="shared" si="2"/>
        <v>46316</v>
      </c>
      <c r="B31" s="151"/>
      <c r="C31" s="137"/>
      <c r="D31" s="138"/>
      <c r="E31" s="139"/>
      <c r="F31" s="137"/>
      <c r="G31" s="138"/>
      <c r="H31" s="139"/>
      <c r="I31" s="137"/>
      <c r="J31" s="138"/>
      <c r="K31" s="139"/>
      <c r="L31" s="137"/>
      <c r="M31" s="138"/>
      <c r="N31" s="139"/>
      <c r="O31" s="137"/>
      <c r="P31" s="138"/>
      <c r="Q31" s="221"/>
      <c r="R31" s="191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100">
        <f t="shared" si="2"/>
        <v>46317</v>
      </c>
      <c r="B32" s="151"/>
      <c r="C32" s="137"/>
      <c r="D32" s="138"/>
      <c r="E32" s="139"/>
      <c r="F32" s="137"/>
      <c r="G32" s="138"/>
      <c r="H32" s="139"/>
      <c r="I32" s="137"/>
      <c r="J32" s="138"/>
      <c r="K32" s="139"/>
      <c r="L32" s="137"/>
      <c r="M32" s="138"/>
      <c r="N32" s="139"/>
      <c r="O32" s="137"/>
      <c r="P32" s="138"/>
      <c r="Q32" s="204"/>
      <c r="R32" s="191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100">
        <f t="shared" si="2"/>
        <v>46318</v>
      </c>
      <c r="B33" s="151"/>
      <c r="C33" s="137"/>
      <c r="D33" s="138"/>
      <c r="E33" s="139"/>
      <c r="F33" s="137"/>
      <c r="G33" s="138"/>
      <c r="H33" s="139"/>
      <c r="I33" s="137"/>
      <c r="J33" s="138"/>
      <c r="K33" s="139"/>
      <c r="L33" s="137"/>
      <c r="M33" s="138"/>
      <c r="N33" s="139"/>
      <c r="O33" s="137"/>
      <c r="P33" s="138"/>
      <c r="Q33" s="205"/>
      <c r="R33" s="191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100">
        <f t="shared" si="2"/>
        <v>46319</v>
      </c>
      <c r="B34" s="151"/>
      <c r="C34" s="137"/>
      <c r="D34" s="138"/>
      <c r="E34" s="139"/>
      <c r="F34" s="137"/>
      <c r="G34" s="138"/>
      <c r="H34" s="139"/>
      <c r="I34" s="137"/>
      <c r="J34" s="138"/>
      <c r="K34" s="139"/>
      <c r="L34" s="137"/>
      <c r="M34" s="138"/>
      <c r="N34" s="139"/>
      <c r="O34" s="137"/>
      <c r="P34" s="138"/>
      <c r="Q34" s="204"/>
      <c r="R34" s="191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100">
        <f t="shared" si="2"/>
        <v>46320</v>
      </c>
      <c r="B35" s="151"/>
      <c r="C35" s="137"/>
      <c r="D35" s="138"/>
      <c r="E35" s="139"/>
      <c r="F35" s="137"/>
      <c r="G35" s="138"/>
      <c r="H35" s="139"/>
      <c r="I35" s="137"/>
      <c r="J35" s="138"/>
      <c r="K35" s="139"/>
      <c r="L35" s="137"/>
      <c r="M35" s="138"/>
      <c r="N35" s="139"/>
      <c r="O35" s="137"/>
      <c r="P35" s="138"/>
      <c r="Q35" s="204"/>
      <c r="R35" s="191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100">
        <f t="shared" si="2"/>
        <v>46321</v>
      </c>
      <c r="B36" s="151"/>
      <c r="C36" s="137"/>
      <c r="D36" s="138"/>
      <c r="E36" s="139"/>
      <c r="F36" s="137"/>
      <c r="G36" s="138"/>
      <c r="H36" s="139"/>
      <c r="I36" s="137"/>
      <c r="J36" s="138"/>
      <c r="K36" s="139"/>
      <c r="L36" s="137"/>
      <c r="M36" s="138"/>
      <c r="N36" s="139"/>
      <c r="O36" s="137"/>
      <c r="P36" s="138"/>
      <c r="Q36" s="205"/>
      <c r="R36" s="191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100">
        <f t="shared" si="2"/>
        <v>46322</v>
      </c>
      <c r="B37" s="151"/>
      <c r="C37" s="137"/>
      <c r="D37" s="138"/>
      <c r="E37" s="139"/>
      <c r="F37" s="137"/>
      <c r="G37" s="138"/>
      <c r="H37" s="139"/>
      <c r="I37" s="137"/>
      <c r="J37" s="138"/>
      <c r="K37" s="139"/>
      <c r="L37" s="137"/>
      <c r="M37" s="138"/>
      <c r="N37" s="139"/>
      <c r="O37" s="137"/>
      <c r="P37" s="138"/>
      <c r="Q37" s="204"/>
      <c r="R37" s="191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100">
        <f t="shared" si="2"/>
        <v>46323</v>
      </c>
      <c r="B38" s="151"/>
      <c r="C38" s="137"/>
      <c r="D38" s="138"/>
      <c r="E38" s="139"/>
      <c r="F38" s="137"/>
      <c r="G38" s="138"/>
      <c r="H38" s="139"/>
      <c r="I38" s="137"/>
      <c r="J38" s="138"/>
      <c r="K38" s="139"/>
      <c r="L38" s="137"/>
      <c r="M38" s="138"/>
      <c r="N38" s="139"/>
      <c r="O38" s="137"/>
      <c r="P38" s="138"/>
      <c r="Q38" s="204"/>
      <c r="R38" s="191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100">
        <f t="shared" si="2"/>
        <v>46324</v>
      </c>
      <c r="B39" s="151"/>
      <c r="C39" s="137"/>
      <c r="D39" s="138"/>
      <c r="E39" s="139"/>
      <c r="F39" s="137"/>
      <c r="G39" s="138"/>
      <c r="H39" s="139"/>
      <c r="I39" s="137"/>
      <c r="J39" s="138"/>
      <c r="K39" s="139"/>
      <c r="L39" s="137"/>
      <c r="M39" s="138"/>
      <c r="N39" s="139"/>
      <c r="O39" s="137"/>
      <c r="P39" s="138"/>
      <c r="Q39" s="204"/>
      <c r="R39" s="191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x14ac:dyDescent="0.25">
      <c r="A40" s="100">
        <f t="shared" si="2"/>
        <v>46325</v>
      </c>
      <c r="B40" s="151"/>
      <c r="C40" s="137"/>
      <c r="D40" s="138"/>
      <c r="E40" s="139"/>
      <c r="F40" s="137"/>
      <c r="G40" s="138"/>
      <c r="H40" s="139"/>
      <c r="I40" s="137"/>
      <c r="J40" s="138"/>
      <c r="K40" s="139"/>
      <c r="L40" s="137"/>
      <c r="M40" s="138"/>
      <c r="N40" s="139"/>
      <c r="O40" s="137"/>
      <c r="P40" s="138"/>
      <c r="Q40" s="204"/>
      <c r="R40" s="191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15.75" customHeight="1" thickBot="1" x14ac:dyDescent="0.3">
      <c r="A41" s="100">
        <f t="shared" si="2"/>
        <v>46326</v>
      </c>
      <c r="B41" s="151"/>
      <c r="C41" s="137"/>
      <c r="D41" s="138"/>
      <c r="E41" s="139"/>
      <c r="F41" s="137"/>
      <c r="G41" s="138"/>
      <c r="H41" s="139"/>
      <c r="I41" s="137"/>
      <c r="J41" s="138"/>
      <c r="K41" s="139"/>
      <c r="L41" s="137"/>
      <c r="M41" s="138"/>
      <c r="N41" s="139"/>
      <c r="O41" s="137"/>
      <c r="P41" s="138"/>
      <c r="Q41" s="204" t="s">
        <v>52</v>
      </c>
      <c r="R41" s="191"/>
      <c r="S41" s="6"/>
      <c r="T41" s="6"/>
      <c r="U41" s="38"/>
      <c r="V41" s="38"/>
      <c r="W41" s="6"/>
      <c r="X41" s="6"/>
      <c r="Y41" s="6"/>
      <c r="Z41" s="6"/>
      <c r="AA41" s="6"/>
      <c r="AB41" s="6"/>
      <c r="AC41" s="6"/>
    </row>
    <row r="42" spans="1:29" ht="15.75" customHeight="1" x14ac:dyDescent="0.25">
      <c r="A42" s="111" t="s">
        <v>24</v>
      </c>
      <c r="B42" s="206">
        <f>SUM(B26:B41)</f>
        <v>0</v>
      </c>
      <c r="C42" s="207"/>
      <c r="D42" s="208"/>
      <c r="E42" s="214">
        <f>SUM(E26:E41)</f>
        <v>0</v>
      </c>
      <c r="F42" s="207"/>
      <c r="G42" s="215"/>
      <c r="H42" s="206">
        <f>SUM(H26:H41)</f>
        <v>0</v>
      </c>
      <c r="I42" s="207"/>
      <c r="J42" s="208"/>
      <c r="K42" s="214">
        <f>SUM(K26:K41)</f>
        <v>0</v>
      </c>
      <c r="L42" s="207"/>
      <c r="M42" s="215"/>
      <c r="N42" s="214">
        <f>SUM(N26:N41)</f>
        <v>0</v>
      </c>
      <c r="O42" s="207"/>
      <c r="P42" s="215"/>
      <c r="Q42" s="103" t="s">
        <v>18</v>
      </c>
      <c r="R42" s="112">
        <f t="shared" ref="R42:R44" si="3">SUM(B42:P42)</f>
        <v>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x14ac:dyDescent="0.25">
      <c r="A43" s="113" t="s">
        <v>25</v>
      </c>
      <c r="B43" s="189">
        <f>SUM(C26:C42)</f>
        <v>0</v>
      </c>
      <c r="C43" s="190"/>
      <c r="D43" s="191"/>
      <c r="E43" s="192">
        <f>SUM(F26:F42)</f>
        <v>0</v>
      </c>
      <c r="F43" s="190"/>
      <c r="G43" s="216"/>
      <c r="H43" s="189">
        <f>SUM(I26:I42)</f>
        <v>0</v>
      </c>
      <c r="I43" s="190"/>
      <c r="J43" s="191"/>
      <c r="K43" s="192">
        <f>SUM(L26:L42)</f>
        <v>0</v>
      </c>
      <c r="L43" s="190"/>
      <c r="M43" s="216"/>
      <c r="N43" s="192">
        <f>SUM(O26:O42)</f>
        <v>0</v>
      </c>
      <c r="O43" s="190"/>
      <c r="P43" s="216"/>
      <c r="Q43" s="106" t="s">
        <v>26</v>
      </c>
      <c r="R43" s="114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15.75" customHeight="1" thickBot="1" x14ac:dyDescent="0.3">
      <c r="A44" s="115" t="s">
        <v>27</v>
      </c>
      <c r="B44" s="184">
        <f>SUM(D26:D41)</f>
        <v>0</v>
      </c>
      <c r="C44" s="182"/>
      <c r="D44" s="185"/>
      <c r="E44" s="181">
        <f>SUM(G26:G41)</f>
        <v>0</v>
      </c>
      <c r="F44" s="182"/>
      <c r="G44" s="183"/>
      <c r="H44" s="184">
        <f>SUM(J26:J41)</f>
        <v>0</v>
      </c>
      <c r="I44" s="182"/>
      <c r="J44" s="185"/>
      <c r="K44" s="181">
        <f>SUM(M26:M41)</f>
        <v>0</v>
      </c>
      <c r="L44" s="182"/>
      <c r="M44" s="183"/>
      <c r="N44" s="181">
        <f>SUM(P26:P41)</f>
        <v>0</v>
      </c>
      <c r="O44" s="182"/>
      <c r="P44" s="183"/>
      <c r="Q44" s="109" t="s">
        <v>23</v>
      </c>
      <c r="R44" s="116">
        <f t="shared" si="3"/>
        <v>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21" hidden="1" customHeight="1" x14ac:dyDescent="0.25">
      <c r="A45" s="157"/>
      <c r="B45" s="186" t="str">
        <f>IF(ISBLANK(B6),"",B6)</f>
        <v/>
      </c>
      <c r="C45" s="187"/>
      <c r="D45" s="188"/>
      <c r="E45" s="186" t="str">
        <f>IF(ISBLANK(E6),"",E6)</f>
        <v/>
      </c>
      <c r="F45" s="187"/>
      <c r="G45" s="188"/>
      <c r="H45" s="186" t="str">
        <f>IF(ISBLANK(H6),"",H6)</f>
        <v/>
      </c>
      <c r="I45" s="187"/>
      <c r="J45" s="188"/>
      <c r="K45" s="186" t="str">
        <f>IF(ISBLANK(K6),"",K6)</f>
        <v/>
      </c>
      <c r="L45" s="187"/>
      <c r="M45" s="188"/>
      <c r="N45" s="186" t="str">
        <f>IF(ISBLANK(N6),"",N6)</f>
        <v/>
      </c>
      <c r="O45" s="187"/>
      <c r="P45" s="188"/>
      <c r="Q45" s="179"/>
      <c r="R45" s="180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25">
      <c r="A46" s="117" t="s">
        <v>28</v>
      </c>
      <c r="B46" s="206">
        <f>B23+B42</f>
        <v>0</v>
      </c>
      <c r="C46" s="207"/>
      <c r="D46" s="208"/>
      <c r="E46" s="209">
        <f>E23+E42</f>
        <v>0</v>
      </c>
      <c r="F46" s="210"/>
      <c r="G46" s="211"/>
      <c r="H46" s="209">
        <f>H23+H42</f>
        <v>0</v>
      </c>
      <c r="I46" s="210"/>
      <c r="J46" s="211"/>
      <c r="K46" s="209">
        <f>K23+K42</f>
        <v>0</v>
      </c>
      <c r="L46" s="210"/>
      <c r="M46" s="211"/>
      <c r="N46" s="209">
        <f>N23+N42</f>
        <v>0</v>
      </c>
      <c r="O46" s="210"/>
      <c r="P46" s="211"/>
      <c r="Q46" s="103" t="s">
        <v>18</v>
      </c>
      <c r="R46" s="112">
        <f t="shared" ref="R46:R48" si="4">SUM(B46:P46)</f>
        <v>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x14ac:dyDescent="0.25">
      <c r="A47" s="105" t="s">
        <v>29</v>
      </c>
      <c r="B47" s="192">
        <f>B24+B43</f>
        <v>0</v>
      </c>
      <c r="C47" s="190"/>
      <c r="D47" s="191"/>
      <c r="E47" s="189">
        <f>E24+E43</f>
        <v>0</v>
      </c>
      <c r="F47" s="190"/>
      <c r="G47" s="191"/>
      <c r="H47" s="189">
        <f>H24+H43</f>
        <v>0</v>
      </c>
      <c r="I47" s="190"/>
      <c r="J47" s="191"/>
      <c r="K47" s="189">
        <f>K24+K43</f>
        <v>0</v>
      </c>
      <c r="L47" s="190"/>
      <c r="M47" s="191"/>
      <c r="N47" s="189">
        <f>N24+N43</f>
        <v>0</v>
      </c>
      <c r="O47" s="190"/>
      <c r="P47" s="191"/>
      <c r="Q47" s="106" t="s">
        <v>26</v>
      </c>
      <c r="R47" s="114">
        <f t="shared" si="4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15.75" customHeight="1" thickBot="1" x14ac:dyDescent="0.3">
      <c r="A48" s="118" t="s">
        <v>30</v>
      </c>
      <c r="B48" s="181">
        <f>B25+B44</f>
        <v>0</v>
      </c>
      <c r="C48" s="182"/>
      <c r="D48" s="185"/>
      <c r="E48" s="184">
        <f>E25+E44</f>
        <v>0</v>
      </c>
      <c r="F48" s="182"/>
      <c r="G48" s="185"/>
      <c r="H48" s="184">
        <f>H25+H44</f>
        <v>0</v>
      </c>
      <c r="I48" s="182"/>
      <c r="J48" s="185"/>
      <c r="K48" s="184">
        <f>K25+K44</f>
        <v>0</v>
      </c>
      <c r="L48" s="182"/>
      <c r="M48" s="185"/>
      <c r="N48" s="184">
        <f>N25+N44</f>
        <v>0</v>
      </c>
      <c r="O48" s="182"/>
      <c r="P48" s="185"/>
      <c r="Q48" s="109" t="s">
        <v>23</v>
      </c>
      <c r="R48" s="116">
        <f t="shared" si="4"/>
        <v>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7.5" hidden="1" customHeight="1" x14ac:dyDescent="0.25">
      <c r="A49" s="119"/>
      <c r="B49" s="186" t="str">
        <f>IF(ISBLANK(B10),"",B10)</f>
        <v/>
      </c>
      <c r="C49" s="187"/>
      <c r="D49" s="188"/>
      <c r="E49" s="186" t="str">
        <f>IF(ISBLANK(E10),"",E10)</f>
        <v/>
      </c>
      <c r="F49" s="187"/>
      <c r="G49" s="188"/>
      <c r="H49" s="186" t="str">
        <f>IF(ISBLANK(H10),"",H10)</f>
        <v/>
      </c>
      <c r="I49" s="187"/>
      <c r="J49" s="188"/>
      <c r="K49" s="186" t="str">
        <f>IF(ISBLANK(K10),"",K10)</f>
        <v/>
      </c>
      <c r="L49" s="187"/>
      <c r="M49" s="188"/>
      <c r="N49" s="186" t="str">
        <f>IF(ISBLANK(N10),"",N10)</f>
        <v/>
      </c>
      <c r="O49" s="187"/>
      <c r="P49" s="188"/>
      <c r="Q49" s="179"/>
      <c r="R49" s="180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thickBot="1" x14ac:dyDescent="0.3">
      <c r="A50" s="158" t="s">
        <v>31</v>
      </c>
      <c r="B50" s="203">
        <f>SUM(B46:D48)</f>
        <v>0</v>
      </c>
      <c r="C50" s="187"/>
      <c r="D50" s="188"/>
      <c r="E50" s="198">
        <f>SUM(E46:G48)</f>
        <v>0</v>
      </c>
      <c r="F50" s="196"/>
      <c r="G50" s="197"/>
      <c r="H50" s="198">
        <f>SUM(H46:J48)</f>
        <v>0</v>
      </c>
      <c r="I50" s="196"/>
      <c r="J50" s="197"/>
      <c r="K50" s="198">
        <f>SUM(K46:M48)</f>
        <v>0</v>
      </c>
      <c r="L50" s="196"/>
      <c r="M50" s="197"/>
      <c r="N50" s="198">
        <f>SUM(N46:P48)</f>
        <v>0</v>
      </c>
      <c r="O50" s="196"/>
      <c r="P50" s="197"/>
      <c r="Q50" s="198">
        <f t="shared" ref="Q50:Q51" si="5">SUM(B50:P50)</f>
        <v>0</v>
      </c>
      <c r="R50" s="197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thickBot="1" x14ac:dyDescent="0.3">
      <c r="A51" s="120" t="s">
        <v>32</v>
      </c>
      <c r="B51" s="195">
        <f>(B46+B48)/((NETWORKDAYS($P$1,EOMONTH($P$1,0), HO))*8)</f>
        <v>0</v>
      </c>
      <c r="C51" s="196"/>
      <c r="D51" s="197"/>
      <c r="E51" s="195">
        <f>(E46+E48)/((NETWORKDAYS($P$1,EOMONTH($P$1,0), HO))*8)</f>
        <v>0</v>
      </c>
      <c r="F51" s="196"/>
      <c r="G51" s="197"/>
      <c r="H51" s="195">
        <f>(H46+H48)/((NETWORKDAYS($P$1,EOMONTH($P$1,0), HO))*8)</f>
        <v>0</v>
      </c>
      <c r="I51" s="196"/>
      <c r="J51" s="197"/>
      <c r="K51" s="195">
        <f>(K46+K48)/((NETWORKDAYS($P$1,EOMONTH($P$1,0), HO))*8)</f>
        <v>0</v>
      </c>
      <c r="L51" s="196"/>
      <c r="M51" s="197"/>
      <c r="N51" s="195">
        <f>(N46+N48)/((NETWORKDAYS($P$1,EOMONTH($P$1,0), HO))*8)</f>
        <v>0</v>
      </c>
      <c r="O51" s="196"/>
      <c r="P51" s="197"/>
      <c r="Q51" s="195">
        <f t="shared" si="5"/>
        <v>0</v>
      </c>
      <c r="R51" s="197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15.75" customHeight="1" thickBot="1" x14ac:dyDescent="0.3">
      <c r="A52" s="120" t="s">
        <v>33</v>
      </c>
      <c r="B52" s="198">
        <f>R46+R48</f>
        <v>0</v>
      </c>
      <c r="C52" s="196"/>
      <c r="D52" s="197"/>
      <c r="E52" s="195" t="s">
        <v>21</v>
      </c>
      <c r="F52" s="196"/>
      <c r="G52" s="197"/>
      <c r="H52" s="198">
        <f>R47</f>
        <v>0</v>
      </c>
      <c r="I52" s="196"/>
      <c r="J52" s="197"/>
      <c r="K52" s="198">
        <f>R47</f>
        <v>0</v>
      </c>
      <c r="L52" s="196"/>
      <c r="M52" s="197"/>
      <c r="N52" s="195" t="s">
        <v>34</v>
      </c>
      <c r="O52" s="196"/>
      <c r="P52" s="197"/>
      <c r="Q52" s="198">
        <f>B52+H52</f>
        <v>0</v>
      </c>
      <c r="R52" s="197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24.75" customHeight="1" x14ac:dyDescent="0.25">
      <c r="A53" s="199" t="s">
        <v>35</v>
      </c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31.5" customHeight="1" thickBot="1" x14ac:dyDescent="0.3">
      <c r="A54" s="201" t="s">
        <v>36</v>
      </c>
      <c r="B54" s="201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202" t="s">
        <v>37</v>
      </c>
      <c r="P54" s="202"/>
      <c r="Q54" s="152"/>
      <c r="R54" s="152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121"/>
      <c r="B55" s="90"/>
      <c r="C55" s="90"/>
      <c r="D55" s="91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15.75" customHeight="1" x14ac:dyDescent="0.25">
      <c r="A56" s="193" t="s">
        <v>38</v>
      </c>
      <c r="B56" s="194"/>
      <c r="C56" s="125"/>
      <c r="D56" s="126"/>
      <c r="E56" s="38"/>
      <c r="F56" s="127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23.25" customHeight="1" x14ac:dyDescent="0.25">
      <c r="A57" s="193" t="s">
        <v>39</v>
      </c>
      <c r="B57" s="194"/>
      <c r="C57" s="123"/>
      <c r="D57" s="124"/>
      <c r="E57" s="123"/>
      <c r="F57" s="12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122"/>
      <c r="B58" s="38"/>
      <c r="C58" s="38"/>
      <c r="D58" s="52"/>
      <c r="E58" s="38"/>
      <c r="F58" s="127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spans="1:29" ht="15.75" customHeight="1" x14ac:dyDescent="0.25">
      <c r="A257" s="51"/>
      <c r="B257" s="38"/>
      <c r="C257" s="38"/>
      <c r="D257" s="52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spans="1:29" ht="15.75" customHeight="1" x14ac:dyDescent="0.25"/>
    <row r="259" spans="1:29" ht="15.75" customHeight="1" x14ac:dyDescent="0.25"/>
    <row r="260" spans="1:29" ht="15.75" customHeight="1" x14ac:dyDescent="0.25"/>
    <row r="261" spans="1:29" ht="15.75" customHeight="1" x14ac:dyDescent="0.25"/>
    <row r="262" spans="1:29" ht="15.75" customHeight="1" x14ac:dyDescent="0.25"/>
    <row r="263" spans="1:29" ht="15.75" customHeight="1" x14ac:dyDescent="0.25"/>
    <row r="264" spans="1:29" ht="15.75" customHeight="1" x14ac:dyDescent="0.25"/>
    <row r="265" spans="1:29" ht="15.75" customHeight="1" x14ac:dyDescent="0.25"/>
    <row r="266" spans="1:29" ht="15.75" customHeight="1" x14ac:dyDescent="0.25"/>
    <row r="267" spans="1:29" ht="15.75" customHeight="1" x14ac:dyDescent="0.25"/>
    <row r="268" spans="1:29" ht="15.75" customHeight="1" x14ac:dyDescent="0.25"/>
    <row r="269" spans="1:29" ht="15.75" customHeight="1" x14ac:dyDescent="0.25"/>
    <row r="270" spans="1:29" ht="15.75" customHeight="1" x14ac:dyDescent="0.25"/>
    <row r="271" spans="1:29" ht="15.75" customHeight="1" x14ac:dyDescent="0.25"/>
    <row r="272" spans="1:2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34">
    <mergeCell ref="A53:R53"/>
    <mergeCell ref="A54:B54"/>
    <mergeCell ref="O54:P54"/>
    <mergeCell ref="A56:B56"/>
    <mergeCell ref="A57:B57"/>
    <mergeCell ref="Q40:R40"/>
    <mergeCell ref="B52:D52"/>
    <mergeCell ref="E52:G52"/>
    <mergeCell ref="H52:J52"/>
    <mergeCell ref="K52:M52"/>
    <mergeCell ref="N52:P52"/>
    <mergeCell ref="Q52:R52"/>
    <mergeCell ref="B51:D51"/>
    <mergeCell ref="E51:G51"/>
    <mergeCell ref="H51:J51"/>
    <mergeCell ref="K51:M51"/>
    <mergeCell ref="N51:P51"/>
    <mergeCell ref="Q51:R51"/>
    <mergeCell ref="Q49:R49"/>
    <mergeCell ref="B50:D50"/>
    <mergeCell ref="E50:G50"/>
    <mergeCell ref="H50:J50"/>
    <mergeCell ref="K50:M50"/>
    <mergeCell ref="N50:P50"/>
    <mergeCell ref="Q50:R50"/>
    <mergeCell ref="B48:D48"/>
    <mergeCell ref="E48:G48"/>
    <mergeCell ref="H48:J48"/>
    <mergeCell ref="K48:M48"/>
    <mergeCell ref="N48:P48"/>
    <mergeCell ref="B49:D49"/>
    <mergeCell ref="E49:G49"/>
    <mergeCell ref="H49:J49"/>
    <mergeCell ref="K49:M49"/>
    <mergeCell ref="N49:P49"/>
    <mergeCell ref="B46:D46"/>
    <mergeCell ref="E46:G46"/>
    <mergeCell ref="H46:J46"/>
    <mergeCell ref="K46:M46"/>
    <mergeCell ref="N46:P46"/>
    <mergeCell ref="B47:D47"/>
    <mergeCell ref="E47:G47"/>
    <mergeCell ref="H47:J47"/>
    <mergeCell ref="K47:M47"/>
    <mergeCell ref="N47:P47"/>
    <mergeCell ref="B45:D45"/>
    <mergeCell ref="E45:G45"/>
    <mergeCell ref="H45:J45"/>
    <mergeCell ref="K45:M45"/>
    <mergeCell ref="N45:P45"/>
    <mergeCell ref="Q45:R45"/>
    <mergeCell ref="B43:D43"/>
    <mergeCell ref="E43:G43"/>
    <mergeCell ref="H43:J43"/>
    <mergeCell ref="K43:M43"/>
    <mergeCell ref="N43:P43"/>
    <mergeCell ref="B44:D44"/>
    <mergeCell ref="E44:G44"/>
    <mergeCell ref="H44:J44"/>
    <mergeCell ref="K44:M44"/>
    <mergeCell ref="N44:P44"/>
    <mergeCell ref="Q38:R38"/>
    <mergeCell ref="Q39:R39"/>
    <mergeCell ref="Q41:R41"/>
    <mergeCell ref="B42:D42"/>
    <mergeCell ref="E42:G42"/>
    <mergeCell ref="H42:J42"/>
    <mergeCell ref="K42:M42"/>
    <mergeCell ref="N42:P42"/>
    <mergeCell ref="Q32:R32"/>
    <mergeCell ref="Q33:R33"/>
    <mergeCell ref="Q34:R34"/>
    <mergeCell ref="Q35:R35"/>
    <mergeCell ref="Q36:R36"/>
    <mergeCell ref="Q37:R37"/>
    <mergeCell ref="Q26:R26"/>
    <mergeCell ref="Q27:R27"/>
    <mergeCell ref="Q28:R28"/>
    <mergeCell ref="Q29:R29"/>
    <mergeCell ref="Q30:R30"/>
    <mergeCell ref="Q31:R31"/>
    <mergeCell ref="B24:D24"/>
    <mergeCell ref="E24:G24"/>
    <mergeCell ref="H24:J24"/>
    <mergeCell ref="K24:M24"/>
    <mergeCell ref="N24:P24"/>
    <mergeCell ref="B25:D25"/>
    <mergeCell ref="E25:G25"/>
    <mergeCell ref="H25:J25"/>
    <mergeCell ref="K25:M25"/>
    <mergeCell ref="N25:P25"/>
    <mergeCell ref="Q20:R20"/>
    <mergeCell ref="Q22:R22"/>
    <mergeCell ref="B23:D23"/>
    <mergeCell ref="E23:G23"/>
    <mergeCell ref="H23:J23"/>
    <mergeCell ref="K23:M23"/>
    <mergeCell ref="N23:P23"/>
    <mergeCell ref="Q14:R14"/>
    <mergeCell ref="Q15:R15"/>
    <mergeCell ref="Q21:R21"/>
    <mergeCell ref="Q17:R17"/>
    <mergeCell ref="Q18:R18"/>
    <mergeCell ref="Q19:R19"/>
    <mergeCell ref="Q16:R16"/>
    <mergeCell ref="Q8:R8"/>
    <mergeCell ref="Q9:R9"/>
    <mergeCell ref="Q10:R10"/>
    <mergeCell ref="Q11:R11"/>
    <mergeCell ref="Q12:R12"/>
    <mergeCell ref="Q13:R13"/>
    <mergeCell ref="N5:P5"/>
    <mergeCell ref="B6:D6"/>
    <mergeCell ref="E6:G6"/>
    <mergeCell ref="H6:J6"/>
    <mergeCell ref="K6:M6"/>
    <mergeCell ref="N6:P6"/>
    <mergeCell ref="A1:B1"/>
    <mergeCell ref="C1:O1"/>
    <mergeCell ref="P1:R1"/>
    <mergeCell ref="A2:B2"/>
    <mergeCell ref="C2:R2"/>
    <mergeCell ref="A3:B3"/>
    <mergeCell ref="C3:R3"/>
    <mergeCell ref="B4:D4"/>
    <mergeCell ref="E4:G4"/>
    <mergeCell ref="H4:J4"/>
    <mergeCell ref="K4:M4"/>
    <mergeCell ref="N4:P4"/>
    <mergeCell ref="Q4:R7"/>
    <mergeCell ref="B5:D5"/>
    <mergeCell ref="E5:G5"/>
    <mergeCell ref="H5:J5"/>
    <mergeCell ref="K5:M5"/>
  </mergeCells>
  <conditionalFormatting sqref="B23 K42:N42">
    <cfRule type="cellIs" dxfId="725" priority="7" operator="greaterThan">
      <formula>0</formula>
    </cfRule>
  </conditionalFormatting>
  <conditionalFormatting sqref="B24 K43:N43">
    <cfRule type="cellIs" dxfId="724" priority="4" operator="greaterThan">
      <formula>1</formula>
    </cfRule>
  </conditionalFormatting>
  <conditionalFormatting sqref="B24:B25 K44:N44">
    <cfRule type="cellIs" dxfId="723" priority="6" operator="greaterThan">
      <formula>0</formula>
    </cfRule>
  </conditionalFormatting>
  <conditionalFormatting sqref="B42">
    <cfRule type="cellIs" dxfId="722" priority="20" operator="greaterThan">
      <formula>0</formula>
    </cfRule>
  </conditionalFormatting>
  <conditionalFormatting sqref="B43">
    <cfRule type="cellIs" dxfId="721" priority="77" operator="greaterThan">
      <formula>1</formula>
    </cfRule>
    <cfRule type="cellIs" dxfId="720" priority="17" operator="greaterThan">
      <formula>1</formula>
    </cfRule>
  </conditionalFormatting>
  <conditionalFormatting sqref="B43:B44">
    <cfRule type="cellIs" dxfId="719" priority="19" operator="greaterThan">
      <formula>0</formula>
    </cfRule>
    <cfRule type="cellIs" dxfId="718" priority="79" operator="greaterThan">
      <formula>0</formula>
    </cfRule>
  </conditionalFormatting>
  <conditionalFormatting sqref="B46">
    <cfRule type="cellIs" dxfId="717" priority="14" operator="greaterThan">
      <formula>0</formula>
    </cfRule>
  </conditionalFormatting>
  <conditionalFormatting sqref="B47">
    <cfRule type="cellIs" dxfId="716" priority="11" operator="greaterThan">
      <formula>1</formula>
    </cfRule>
  </conditionalFormatting>
  <conditionalFormatting sqref="B47:B48">
    <cfRule type="cellIs" dxfId="715" priority="13" operator="greaterThan">
      <formula>0</formula>
    </cfRule>
  </conditionalFormatting>
  <conditionalFormatting sqref="B25:D25">
    <cfRule type="cellIs" dxfId="714" priority="52" operator="greaterThan">
      <formula>0</formula>
    </cfRule>
  </conditionalFormatting>
  <conditionalFormatting sqref="B44:D44">
    <cfRule type="cellIs" dxfId="713" priority="82" operator="greaterThan">
      <formula>0</formula>
    </cfRule>
  </conditionalFormatting>
  <conditionalFormatting sqref="B48:M48">
    <cfRule type="cellIs" dxfId="712" priority="119" operator="greaterThan">
      <formula>0</formula>
    </cfRule>
  </conditionalFormatting>
  <conditionalFormatting sqref="B50:M50">
    <cfRule type="cellIs" dxfId="711" priority="16" operator="greaterThan">
      <formula>0</formula>
    </cfRule>
  </conditionalFormatting>
  <conditionalFormatting sqref="B4:P5">
    <cfRule type="containsBlanks" dxfId="710" priority="1">
      <formula>LEN(TRIM(B4))=0</formula>
    </cfRule>
  </conditionalFormatting>
  <conditionalFormatting sqref="B48:P48 R48">
    <cfRule type="cellIs" dxfId="709" priority="10" operator="greaterThan">
      <formula>0</formula>
    </cfRule>
  </conditionalFormatting>
  <conditionalFormatting sqref="C2:R3">
    <cfRule type="containsBlanks" dxfId="708" priority="2">
      <formula>LEN(TRIM(C2))=0</formula>
    </cfRule>
  </conditionalFormatting>
  <conditionalFormatting sqref="E24">
    <cfRule type="cellIs" dxfId="707" priority="53" operator="greaterThan">
      <formula>1</formula>
    </cfRule>
  </conditionalFormatting>
  <conditionalFormatting sqref="E24:E25">
    <cfRule type="cellIs" dxfId="706" priority="55" operator="greaterThan">
      <formula>0</formula>
    </cfRule>
  </conditionalFormatting>
  <conditionalFormatting sqref="E42">
    <cfRule type="cellIs" dxfId="705" priority="25" operator="greaterThan">
      <formula>0</formula>
    </cfRule>
  </conditionalFormatting>
  <conditionalFormatting sqref="E43">
    <cfRule type="cellIs" dxfId="704" priority="22" operator="greaterThan">
      <formula>1</formula>
    </cfRule>
    <cfRule type="cellIs" dxfId="703" priority="83" operator="greaterThan">
      <formula>1</formula>
    </cfRule>
    <cfRule type="cellIs" dxfId="702" priority="88" operator="greaterThan">
      <formula>1</formula>
    </cfRule>
  </conditionalFormatting>
  <conditionalFormatting sqref="E43:E44">
    <cfRule type="cellIs" dxfId="701" priority="24" operator="greaterThan">
      <formula>0</formula>
    </cfRule>
    <cfRule type="cellIs" dxfId="700" priority="85" operator="greaterThan">
      <formula>0</formula>
    </cfRule>
    <cfRule type="cellIs" dxfId="699" priority="90" operator="greaterThan">
      <formula>0</formula>
    </cfRule>
  </conditionalFormatting>
  <conditionalFormatting sqref="E46">
    <cfRule type="cellIs" dxfId="698" priority="40" operator="greaterThan">
      <formula>0</formula>
    </cfRule>
  </conditionalFormatting>
  <conditionalFormatting sqref="E47">
    <cfRule type="cellIs" dxfId="697" priority="37" operator="greaterThan">
      <formula>1</formula>
    </cfRule>
  </conditionalFormatting>
  <conditionalFormatting sqref="E47:E48">
    <cfRule type="cellIs" dxfId="696" priority="39" operator="greaterThan">
      <formula>0</formula>
    </cfRule>
  </conditionalFormatting>
  <conditionalFormatting sqref="E25:G25">
    <cfRule type="cellIs" dxfId="695" priority="58" operator="greaterThan">
      <formula>0</formula>
    </cfRule>
  </conditionalFormatting>
  <conditionalFormatting sqref="E44:G44">
    <cfRule type="cellIs" dxfId="694" priority="93" operator="greaterThan">
      <formula>0</formula>
    </cfRule>
  </conditionalFormatting>
  <conditionalFormatting sqref="E23:H23">
    <cfRule type="cellIs" dxfId="693" priority="56" operator="greaterThan">
      <formula>0</formula>
    </cfRule>
  </conditionalFormatting>
  <conditionalFormatting sqref="E24:M24">
    <cfRule type="cellIs" dxfId="692" priority="72" operator="greaterThan">
      <formula>0</formula>
    </cfRule>
  </conditionalFormatting>
  <conditionalFormatting sqref="E43:M43">
    <cfRule type="cellIs" dxfId="691" priority="116" operator="greaterThan">
      <formula>0</formula>
    </cfRule>
  </conditionalFormatting>
  <conditionalFormatting sqref="H24">
    <cfRule type="cellIs" dxfId="690" priority="59" operator="greaterThan">
      <formula>1</formula>
    </cfRule>
  </conditionalFormatting>
  <conditionalFormatting sqref="H24:H25">
    <cfRule type="cellIs" dxfId="689" priority="61" operator="greaterThan">
      <formula>0</formula>
    </cfRule>
  </conditionalFormatting>
  <conditionalFormatting sqref="H42">
    <cfRule type="cellIs" dxfId="688" priority="30" operator="greaterThan">
      <formula>0</formula>
    </cfRule>
  </conditionalFormatting>
  <conditionalFormatting sqref="H43">
    <cfRule type="cellIs" dxfId="687" priority="27" operator="greaterThan">
      <formula>1</formula>
    </cfRule>
    <cfRule type="cellIs" dxfId="686" priority="99" operator="greaterThan">
      <formula>1</formula>
    </cfRule>
    <cfRule type="cellIs" dxfId="685" priority="94" operator="greaterThan">
      <formula>1</formula>
    </cfRule>
  </conditionalFormatting>
  <conditionalFormatting sqref="H43:H44">
    <cfRule type="cellIs" dxfId="684" priority="29" operator="greaterThan">
      <formula>0</formula>
    </cfRule>
    <cfRule type="cellIs" dxfId="683" priority="96" operator="greaterThan">
      <formula>0</formula>
    </cfRule>
    <cfRule type="cellIs" dxfId="682" priority="101" operator="greaterThan">
      <formula>0</formula>
    </cfRule>
  </conditionalFormatting>
  <conditionalFormatting sqref="H46">
    <cfRule type="cellIs" dxfId="681" priority="45" operator="greaterThan">
      <formula>0</formula>
    </cfRule>
  </conditionalFormatting>
  <conditionalFormatting sqref="H47">
    <cfRule type="cellIs" dxfId="680" priority="42" operator="greaterThan">
      <formula>1</formula>
    </cfRule>
  </conditionalFormatting>
  <conditionalFormatting sqref="H47:H48">
    <cfRule type="cellIs" dxfId="679" priority="44" operator="greaterThan">
      <formula>0</formula>
    </cfRule>
  </conditionalFormatting>
  <conditionalFormatting sqref="H25:J25">
    <cfRule type="cellIs" dxfId="678" priority="64" operator="greaterThan">
      <formula>0</formula>
    </cfRule>
  </conditionalFormatting>
  <conditionalFormatting sqref="H44:J44">
    <cfRule type="cellIs" dxfId="677" priority="104" operator="greaterThan">
      <formula>0</formula>
    </cfRule>
  </conditionalFormatting>
  <conditionalFormatting sqref="K24">
    <cfRule type="cellIs" dxfId="676" priority="66" operator="greaterThan">
      <formula>1</formula>
    </cfRule>
  </conditionalFormatting>
  <conditionalFormatting sqref="K24:K25">
    <cfRule type="cellIs" dxfId="675" priority="68" operator="greaterThan">
      <formula>0</formula>
    </cfRule>
  </conditionalFormatting>
  <conditionalFormatting sqref="K43">
    <cfRule type="cellIs" dxfId="674" priority="105" operator="greaterThan">
      <formula>1</formula>
    </cfRule>
    <cfRule type="cellIs" dxfId="673" priority="110" operator="greaterThan">
      <formula>1</formula>
    </cfRule>
  </conditionalFormatting>
  <conditionalFormatting sqref="K43:K44">
    <cfRule type="cellIs" dxfId="672" priority="34" operator="greaterThan">
      <formula>0</formula>
    </cfRule>
    <cfRule type="cellIs" dxfId="671" priority="107" operator="greaterThan">
      <formula>0</formula>
    </cfRule>
    <cfRule type="cellIs" dxfId="670" priority="112" operator="greaterThan">
      <formula>0</formula>
    </cfRule>
  </conditionalFormatting>
  <conditionalFormatting sqref="K46">
    <cfRule type="cellIs" dxfId="669" priority="50" operator="greaterThan">
      <formula>0</formula>
    </cfRule>
  </conditionalFormatting>
  <conditionalFormatting sqref="K47">
    <cfRule type="cellIs" dxfId="668" priority="47" operator="greaterThan">
      <formula>1</formula>
    </cfRule>
  </conditionalFormatting>
  <conditionalFormatting sqref="K47:K48">
    <cfRule type="cellIs" dxfId="667" priority="49" operator="greaterThan">
      <formula>0</formula>
    </cfRule>
  </conditionalFormatting>
  <conditionalFormatting sqref="K23:M23">
    <cfRule type="cellIs" dxfId="666" priority="69" operator="greaterThan">
      <formula>0</formula>
    </cfRule>
  </conditionalFormatting>
  <conditionalFormatting sqref="K25:M25">
    <cfRule type="cellIs" dxfId="665" priority="71" operator="greaterThan">
      <formula>0</formula>
    </cfRule>
  </conditionalFormatting>
  <conditionalFormatting sqref="K44:M44">
    <cfRule type="cellIs" dxfId="664" priority="115" operator="greaterThan">
      <formula>0</formula>
    </cfRule>
  </conditionalFormatting>
  <conditionalFormatting sqref="K47:M47">
    <cfRule type="cellIs" dxfId="663" priority="120" operator="greaterThan">
      <formula>0</formula>
    </cfRule>
  </conditionalFormatting>
  <conditionalFormatting sqref="K47:P47">
    <cfRule type="cellIs" dxfId="662" priority="9" operator="greaterThan">
      <formula>0</formula>
    </cfRule>
  </conditionalFormatting>
  <pageMargins left="0.25" right="0.25" top="0.75" bottom="0.75" header="0.3" footer="0.3"/>
  <pageSetup scale="7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8D33-5169-47B2-ACA3-C914A17391BC}">
  <sheetPr>
    <outlinePr summaryBelow="0" summaryRight="0"/>
    <pageSetUpPr fitToPage="1"/>
  </sheetPr>
  <dimension ref="A1:AC998"/>
  <sheetViews>
    <sheetView zoomScale="89" zoomScaleNormal="100" workbookViewId="0">
      <selection activeCell="A8" sqref="A8"/>
    </sheetView>
  </sheetViews>
  <sheetFormatPr defaultColWidth="14.44140625" defaultRowHeight="15" customHeight="1" x14ac:dyDescent="0.25"/>
  <cols>
    <col min="1" max="1" width="24" customWidth="1"/>
    <col min="2" max="16" width="5.33203125" customWidth="1"/>
    <col min="17" max="17" width="17.5546875" bestFit="1" customWidth="1"/>
    <col min="18" max="18" width="17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41.25" customHeight="1" thickBot="1" x14ac:dyDescent="0.35">
      <c r="A1" s="228" t="s">
        <v>0</v>
      </c>
      <c r="B1" s="229"/>
      <c r="C1" s="230" t="s">
        <v>1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2">
        <v>46327</v>
      </c>
      <c r="Q1" s="231"/>
      <c r="R1" s="231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233" t="s">
        <v>2</v>
      </c>
      <c r="B2" s="215"/>
      <c r="C2" s="225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7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8" thickBot="1" x14ac:dyDescent="0.35">
      <c r="A3" s="247" t="s">
        <v>3</v>
      </c>
      <c r="B3" s="183"/>
      <c r="C3" s="234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6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54" customHeight="1" x14ac:dyDescent="0.25">
      <c r="A4" s="92" t="s">
        <v>4</v>
      </c>
      <c r="B4" s="240"/>
      <c r="C4" s="241"/>
      <c r="D4" s="242"/>
      <c r="E4" s="240"/>
      <c r="F4" s="241"/>
      <c r="G4" s="242"/>
      <c r="H4" s="240"/>
      <c r="I4" s="241"/>
      <c r="J4" s="242"/>
      <c r="K4" s="240"/>
      <c r="L4" s="241"/>
      <c r="M4" s="242"/>
      <c r="N4" s="240"/>
      <c r="O4" s="241"/>
      <c r="P4" s="242"/>
      <c r="Q4" s="243" t="s">
        <v>5</v>
      </c>
      <c r="R4" s="244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93" t="s">
        <v>6</v>
      </c>
      <c r="B5" s="237"/>
      <c r="C5" s="238"/>
      <c r="D5" s="239"/>
      <c r="E5" s="237"/>
      <c r="F5" s="238"/>
      <c r="G5" s="239"/>
      <c r="H5" s="237"/>
      <c r="I5" s="238"/>
      <c r="J5" s="239"/>
      <c r="K5" s="237"/>
      <c r="L5" s="238"/>
      <c r="M5" s="239"/>
      <c r="N5" s="237"/>
      <c r="O5" s="238"/>
      <c r="P5" s="239"/>
      <c r="Q5" s="245"/>
      <c r="R5" s="180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thickBot="1" x14ac:dyDescent="0.3">
      <c r="A6" s="94" t="s">
        <v>7</v>
      </c>
      <c r="B6" s="237"/>
      <c r="C6" s="238"/>
      <c r="D6" s="239"/>
      <c r="E6" s="237"/>
      <c r="F6" s="238"/>
      <c r="G6" s="239"/>
      <c r="H6" s="237"/>
      <c r="I6" s="238"/>
      <c r="J6" s="239"/>
      <c r="K6" s="237"/>
      <c r="L6" s="238"/>
      <c r="M6" s="239"/>
      <c r="N6" s="237"/>
      <c r="O6" s="238"/>
      <c r="P6" s="239"/>
      <c r="Q6" s="245"/>
      <c r="R6" s="180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thickBot="1" x14ac:dyDescent="0.3">
      <c r="A7" s="153"/>
      <c r="B7" s="95" t="s">
        <v>8</v>
      </c>
      <c r="C7" s="96" t="s">
        <v>9</v>
      </c>
      <c r="D7" s="97" t="s">
        <v>10</v>
      </c>
      <c r="E7" s="95" t="s">
        <v>8</v>
      </c>
      <c r="F7" s="96" t="s">
        <v>9</v>
      </c>
      <c r="G7" s="97" t="s">
        <v>10</v>
      </c>
      <c r="H7" s="95" t="s">
        <v>8</v>
      </c>
      <c r="I7" s="96" t="s">
        <v>9</v>
      </c>
      <c r="J7" s="97" t="s">
        <v>10</v>
      </c>
      <c r="K7" s="95" t="s">
        <v>8</v>
      </c>
      <c r="L7" s="96" t="s">
        <v>9</v>
      </c>
      <c r="M7" s="97" t="s">
        <v>10</v>
      </c>
      <c r="N7" s="95" t="s">
        <v>8</v>
      </c>
      <c r="O7" s="96" t="s">
        <v>9</v>
      </c>
      <c r="P7" s="97" t="s">
        <v>10</v>
      </c>
      <c r="Q7" s="246"/>
      <c r="R7" s="188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8" x14ac:dyDescent="0.25">
      <c r="A8" s="98">
        <v>46327</v>
      </c>
      <c r="B8" s="140"/>
      <c r="C8" s="141"/>
      <c r="D8" s="142"/>
      <c r="E8" s="143"/>
      <c r="F8" s="141"/>
      <c r="G8" s="142"/>
      <c r="H8" s="143"/>
      <c r="I8" s="141"/>
      <c r="J8" s="142"/>
      <c r="K8" s="143"/>
      <c r="L8" s="141"/>
      <c r="M8" s="142"/>
      <c r="N8" s="143"/>
      <c r="O8" s="141"/>
      <c r="P8" s="142"/>
      <c r="Q8" s="250" t="s">
        <v>53</v>
      </c>
      <c r="R8" s="20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8" x14ac:dyDescent="0.25">
      <c r="A9" s="99">
        <f t="shared" ref="A9:A22" si="0">A8+1</f>
        <v>46328</v>
      </c>
      <c r="B9" s="133"/>
      <c r="C9" s="134"/>
      <c r="D9" s="135"/>
      <c r="E9" s="136"/>
      <c r="F9" s="134"/>
      <c r="G9" s="135"/>
      <c r="H9" s="136"/>
      <c r="I9" s="134"/>
      <c r="J9" s="135"/>
      <c r="K9" s="136"/>
      <c r="L9" s="134"/>
      <c r="M9" s="135"/>
      <c r="N9" s="136"/>
      <c r="O9" s="134"/>
      <c r="P9" s="135"/>
      <c r="Q9" s="204"/>
      <c r="R9" s="191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3.8" x14ac:dyDescent="0.25">
      <c r="A10" s="100">
        <f t="shared" si="0"/>
        <v>46329</v>
      </c>
      <c r="B10" s="140"/>
      <c r="C10" s="137"/>
      <c r="D10" s="138"/>
      <c r="E10" s="139"/>
      <c r="F10" s="137"/>
      <c r="G10" s="138"/>
      <c r="H10" s="139"/>
      <c r="I10" s="137"/>
      <c r="J10" s="138"/>
      <c r="K10" s="139"/>
      <c r="L10" s="137"/>
      <c r="M10" s="138"/>
      <c r="N10" s="139"/>
      <c r="O10" s="137"/>
      <c r="P10" s="138"/>
      <c r="Q10" s="204"/>
      <c r="R10" s="191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8" x14ac:dyDescent="0.25">
      <c r="A11" s="100">
        <f t="shared" si="0"/>
        <v>46330</v>
      </c>
      <c r="B11" s="140"/>
      <c r="C11" s="137"/>
      <c r="D11" s="138"/>
      <c r="E11" s="139"/>
      <c r="F11" s="137"/>
      <c r="G11" s="138"/>
      <c r="H11" s="139"/>
      <c r="I11" s="137"/>
      <c r="J11" s="138"/>
      <c r="K11" s="139"/>
      <c r="L11" s="137"/>
      <c r="M11" s="138"/>
      <c r="N11" s="139"/>
      <c r="O11" s="137"/>
      <c r="P11" s="138"/>
      <c r="Q11" s="204"/>
      <c r="R11" s="191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8" x14ac:dyDescent="0.25">
      <c r="A12" s="100">
        <f t="shared" si="0"/>
        <v>46331</v>
      </c>
      <c r="B12" s="140"/>
      <c r="C12" s="137"/>
      <c r="D12" s="138"/>
      <c r="E12" s="139"/>
      <c r="F12" s="137"/>
      <c r="G12" s="138"/>
      <c r="H12" s="139"/>
      <c r="I12" s="137"/>
      <c r="J12" s="138"/>
      <c r="K12" s="139"/>
      <c r="L12" s="137"/>
      <c r="M12" s="138"/>
      <c r="N12" s="139"/>
      <c r="O12" s="137"/>
      <c r="P12" s="138"/>
      <c r="Q12" s="204"/>
      <c r="R12" s="191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8" x14ac:dyDescent="0.25">
      <c r="A13" s="100">
        <f t="shared" si="0"/>
        <v>46332</v>
      </c>
      <c r="B13" s="140"/>
      <c r="C13" s="137"/>
      <c r="D13" s="138"/>
      <c r="E13" s="139"/>
      <c r="F13" s="137"/>
      <c r="G13" s="138"/>
      <c r="H13" s="139"/>
      <c r="I13" s="137"/>
      <c r="J13" s="138"/>
      <c r="K13" s="139"/>
      <c r="L13" s="137"/>
      <c r="M13" s="138"/>
      <c r="N13" s="139"/>
      <c r="O13" s="137"/>
      <c r="P13" s="138"/>
      <c r="Q13" s="204"/>
      <c r="R13" s="191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8" x14ac:dyDescent="0.25">
      <c r="A14" s="100">
        <f t="shared" si="0"/>
        <v>46333</v>
      </c>
      <c r="B14" s="140"/>
      <c r="C14" s="137"/>
      <c r="D14" s="138"/>
      <c r="E14" s="139"/>
      <c r="F14" s="137"/>
      <c r="G14" s="138"/>
      <c r="H14" s="139"/>
      <c r="I14" s="137"/>
      <c r="J14" s="138"/>
      <c r="K14" s="139"/>
      <c r="L14" s="137"/>
      <c r="M14" s="138"/>
      <c r="N14" s="139"/>
      <c r="O14" s="137"/>
      <c r="P14" s="138"/>
      <c r="Q14" s="204"/>
      <c r="R14" s="191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8" x14ac:dyDescent="0.25">
      <c r="A15" s="100">
        <f t="shared" si="0"/>
        <v>46334</v>
      </c>
      <c r="B15" s="140"/>
      <c r="C15" s="137"/>
      <c r="D15" s="138"/>
      <c r="E15" s="139"/>
      <c r="F15" s="137"/>
      <c r="G15" s="138"/>
      <c r="H15" s="139"/>
      <c r="I15" s="137"/>
      <c r="J15" s="138"/>
      <c r="K15" s="139"/>
      <c r="L15" s="137"/>
      <c r="M15" s="138"/>
      <c r="N15" s="139"/>
      <c r="O15" s="137"/>
      <c r="P15" s="138"/>
      <c r="Q15" s="205"/>
      <c r="R15" s="191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8" x14ac:dyDescent="0.25">
      <c r="A16" s="100">
        <f t="shared" si="0"/>
        <v>46335</v>
      </c>
      <c r="B16" s="140"/>
      <c r="C16" s="137"/>
      <c r="D16" s="138"/>
      <c r="E16" s="139"/>
      <c r="F16" s="137"/>
      <c r="G16" s="138"/>
      <c r="H16" s="139"/>
      <c r="I16" s="137"/>
      <c r="J16" s="138"/>
      <c r="K16" s="139"/>
      <c r="L16" s="137"/>
      <c r="M16" s="138"/>
      <c r="N16" s="139"/>
      <c r="O16" s="137"/>
      <c r="P16" s="138"/>
      <c r="Q16" s="204"/>
      <c r="R16" s="191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4.4" x14ac:dyDescent="0.3">
      <c r="A17" s="100">
        <f t="shared" si="0"/>
        <v>46336</v>
      </c>
      <c r="B17" s="140"/>
      <c r="C17" s="137"/>
      <c r="D17" s="138"/>
      <c r="E17" s="139"/>
      <c r="F17" s="137"/>
      <c r="G17" s="138"/>
      <c r="H17" s="139"/>
      <c r="I17" s="137"/>
      <c r="J17" s="138"/>
      <c r="K17" s="139"/>
      <c r="L17" s="137"/>
      <c r="M17" s="138"/>
      <c r="N17" s="139"/>
      <c r="O17" s="137"/>
      <c r="P17" s="138"/>
      <c r="Q17" s="204"/>
      <c r="R17" s="191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4.4" x14ac:dyDescent="0.3">
      <c r="A18" s="100">
        <f t="shared" si="0"/>
        <v>46337</v>
      </c>
      <c r="B18" s="140"/>
      <c r="C18" s="137"/>
      <c r="D18" s="138"/>
      <c r="E18" s="139"/>
      <c r="F18" s="137"/>
      <c r="G18" s="138"/>
      <c r="H18" s="139"/>
      <c r="I18" s="137"/>
      <c r="J18" s="138"/>
      <c r="K18" s="139"/>
      <c r="L18" s="137"/>
      <c r="M18" s="138"/>
      <c r="N18" s="139"/>
      <c r="O18" s="137"/>
      <c r="P18" s="138"/>
      <c r="Q18" s="205" t="s">
        <v>54</v>
      </c>
      <c r="R18" s="191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4.4" x14ac:dyDescent="0.3">
      <c r="A19" s="100">
        <f t="shared" si="0"/>
        <v>46338</v>
      </c>
      <c r="B19" s="140"/>
      <c r="C19" s="137"/>
      <c r="D19" s="138"/>
      <c r="E19" s="139"/>
      <c r="F19" s="137"/>
      <c r="G19" s="138"/>
      <c r="H19" s="139"/>
      <c r="I19" s="137"/>
      <c r="J19" s="138"/>
      <c r="K19" s="139"/>
      <c r="L19" s="137"/>
      <c r="M19" s="138"/>
      <c r="N19" s="139"/>
      <c r="O19" s="137"/>
      <c r="P19" s="138"/>
      <c r="Q19" s="204"/>
      <c r="R19" s="191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4.4" x14ac:dyDescent="0.3">
      <c r="A20" s="100">
        <f t="shared" si="0"/>
        <v>46339</v>
      </c>
      <c r="B20" s="140"/>
      <c r="C20" s="137"/>
      <c r="D20" s="138"/>
      <c r="E20" s="139"/>
      <c r="F20" s="137"/>
      <c r="G20" s="138"/>
      <c r="H20" s="139"/>
      <c r="I20" s="137"/>
      <c r="J20" s="138"/>
      <c r="K20" s="139"/>
      <c r="L20" s="137"/>
      <c r="M20" s="138"/>
      <c r="N20" s="139"/>
      <c r="O20" s="137"/>
      <c r="P20" s="138"/>
      <c r="Q20" s="221"/>
      <c r="R20" s="220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100">
        <f t="shared" si="0"/>
        <v>46340</v>
      </c>
      <c r="B21" s="140"/>
      <c r="C21" s="137"/>
      <c r="D21" s="138"/>
      <c r="E21" s="139"/>
      <c r="F21" s="137"/>
      <c r="G21" s="138"/>
      <c r="H21" s="139"/>
      <c r="I21" s="137"/>
      <c r="J21" s="138"/>
      <c r="K21" s="139"/>
      <c r="L21" s="137"/>
      <c r="M21" s="138"/>
      <c r="N21" s="139"/>
      <c r="O21" s="137"/>
      <c r="P21" s="138"/>
      <c r="Q21" s="204"/>
      <c r="R21" s="191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thickBot="1" x14ac:dyDescent="0.35">
      <c r="A22" s="101">
        <f t="shared" si="0"/>
        <v>46341</v>
      </c>
      <c r="B22" s="140"/>
      <c r="C22" s="154"/>
      <c r="D22" s="155"/>
      <c r="E22" s="156"/>
      <c r="F22" s="154"/>
      <c r="G22" s="155"/>
      <c r="H22" s="156"/>
      <c r="I22" s="154"/>
      <c r="J22" s="155"/>
      <c r="K22" s="156"/>
      <c r="L22" s="154"/>
      <c r="M22" s="155"/>
      <c r="N22" s="156"/>
      <c r="O22" s="154"/>
      <c r="P22" s="155"/>
      <c r="Q22" s="212"/>
      <c r="R22" s="213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102" t="s">
        <v>17</v>
      </c>
      <c r="B23" s="214">
        <f>SUM(B8:B22)</f>
        <v>0</v>
      </c>
      <c r="C23" s="207"/>
      <c r="D23" s="208"/>
      <c r="E23" s="214">
        <f>SUM(E8:E22)</f>
        <v>0</v>
      </c>
      <c r="F23" s="207"/>
      <c r="G23" s="208"/>
      <c r="H23" s="214">
        <f>SUM(H8:H22)</f>
        <v>0</v>
      </c>
      <c r="I23" s="207"/>
      <c r="J23" s="208"/>
      <c r="K23" s="214">
        <f>SUM(K8:K22)</f>
        <v>0</v>
      </c>
      <c r="L23" s="207"/>
      <c r="M23" s="208"/>
      <c r="N23" s="214">
        <f>SUM(N8:N22)</f>
        <v>0</v>
      </c>
      <c r="O23" s="207"/>
      <c r="P23" s="208"/>
      <c r="Q23" s="103" t="s">
        <v>18</v>
      </c>
      <c r="R23" s="104">
        <f t="shared" ref="R23:R25" si="1">SUM(B23:P23)</f>
        <v>0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25">
      <c r="A24" s="105" t="s">
        <v>20</v>
      </c>
      <c r="B24" s="192">
        <f>SUM(C8:C23)</f>
        <v>0</v>
      </c>
      <c r="C24" s="190"/>
      <c r="D24" s="191"/>
      <c r="E24" s="192">
        <f>SUM(F8:F23)</f>
        <v>0</v>
      </c>
      <c r="F24" s="190"/>
      <c r="G24" s="191"/>
      <c r="H24" s="192">
        <f>SUM(I8:I23)</f>
        <v>0</v>
      </c>
      <c r="I24" s="190"/>
      <c r="J24" s="191"/>
      <c r="K24" s="192">
        <f>SUM(L8:L23)</f>
        <v>0</v>
      </c>
      <c r="L24" s="190"/>
      <c r="M24" s="191"/>
      <c r="N24" s="192">
        <f>SUM(O8:O23)</f>
        <v>0</v>
      </c>
      <c r="O24" s="190"/>
      <c r="P24" s="191"/>
      <c r="Q24" s="106" t="s">
        <v>21</v>
      </c>
      <c r="R24" s="107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thickBot="1" x14ac:dyDescent="0.3">
      <c r="A25" s="108" t="s">
        <v>22</v>
      </c>
      <c r="B25" s="181">
        <f>SUM(D8:D22)</f>
        <v>0</v>
      </c>
      <c r="C25" s="182"/>
      <c r="D25" s="185"/>
      <c r="E25" s="181">
        <f>SUM(G8:G22)</f>
        <v>0</v>
      </c>
      <c r="F25" s="182"/>
      <c r="G25" s="185"/>
      <c r="H25" s="181">
        <f>SUM(J8:J22)</f>
        <v>0</v>
      </c>
      <c r="I25" s="182"/>
      <c r="J25" s="185"/>
      <c r="K25" s="181">
        <f>SUM(M8:M22)</f>
        <v>0</v>
      </c>
      <c r="L25" s="182"/>
      <c r="M25" s="185"/>
      <c r="N25" s="181">
        <f>SUM(P8:P22)</f>
        <v>0</v>
      </c>
      <c r="O25" s="182"/>
      <c r="P25" s="185"/>
      <c r="Q25" s="109" t="s">
        <v>23</v>
      </c>
      <c r="R25" s="110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98">
        <f>A22+1</f>
        <v>46342</v>
      </c>
      <c r="B26" s="151"/>
      <c r="C26" s="159"/>
      <c r="D26" s="160"/>
      <c r="E26" s="161"/>
      <c r="F26" s="159"/>
      <c r="G26" s="160"/>
      <c r="H26" s="161"/>
      <c r="I26" s="159"/>
      <c r="J26" s="160"/>
      <c r="K26" s="161"/>
      <c r="L26" s="159"/>
      <c r="M26" s="160"/>
      <c r="N26" s="161"/>
      <c r="O26" s="159"/>
      <c r="P26" s="160"/>
      <c r="Q26" s="255"/>
      <c r="R26" s="211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100">
        <f t="shared" ref="A27:A40" si="2">A26+1</f>
        <v>46343</v>
      </c>
      <c r="B27" s="151"/>
      <c r="C27" s="137"/>
      <c r="D27" s="138"/>
      <c r="E27" s="139"/>
      <c r="F27" s="137"/>
      <c r="G27" s="138"/>
      <c r="H27" s="139"/>
      <c r="I27" s="137"/>
      <c r="J27" s="138"/>
      <c r="K27" s="139"/>
      <c r="L27" s="137"/>
      <c r="M27" s="138"/>
      <c r="N27" s="139"/>
      <c r="O27" s="137"/>
      <c r="P27" s="138"/>
      <c r="Q27" s="219"/>
      <c r="R27" s="220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100">
        <f t="shared" si="2"/>
        <v>46344</v>
      </c>
      <c r="B28" s="151"/>
      <c r="C28" s="137"/>
      <c r="D28" s="138"/>
      <c r="E28" s="139"/>
      <c r="F28" s="137"/>
      <c r="G28" s="138"/>
      <c r="H28" s="139"/>
      <c r="I28" s="137"/>
      <c r="J28" s="138"/>
      <c r="K28" s="139"/>
      <c r="L28" s="137"/>
      <c r="M28" s="138"/>
      <c r="N28" s="139"/>
      <c r="O28" s="137"/>
      <c r="P28" s="138"/>
      <c r="Q28" s="204"/>
      <c r="R28" s="191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100">
        <f t="shared" si="2"/>
        <v>46345</v>
      </c>
      <c r="B29" s="151"/>
      <c r="C29" s="137"/>
      <c r="D29" s="138"/>
      <c r="E29" s="139"/>
      <c r="F29" s="137"/>
      <c r="G29" s="138"/>
      <c r="H29" s="139"/>
      <c r="I29" s="137"/>
      <c r="J29" s="138"/>
      <c r="K29" s="139"/>
      <c r="L29" s="137"/>
      <c r="M29" s="138"/>
      <c r="N29" s="139"/>
      <c r="O29" s="137"/>
      <c r="P29" s="138"/>
      <c r="Q29" s="204"/>
      <c r="R29" s="191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100">
        <f t="shared" si="2"/>
        <v>46346</v>
      </c>
      <c r="B30" s="151"/>
      <c r="C30" s="137"/>
      <c r="D30" s="138"/>
      <c r="E30" s="139"/>
      <c r="F30" s="137"/>
      <c r="G30" s="138"/>
      <c r="H30" s="139"/>
      <c r="I30" s="137"/>
      <c r="J30" s="138"/>
      <c r="K30" s="139"/>
      <c r="L30" s="137"/>
      <c r="M30" s="138"/>
      <c r="N30" s="139"/>
      <c r="O30" s="137"/>
      <c r="P30" s="138"/>
      <c r="Q30" s="204"/>
      <c r="R30" s="191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100">
        <f t="shared" si="2"/>
        <v>46347</v>
      </c>
      <c r="B31" s="151"/>
      <c r="C31" s="137"/>
      <c r="D31" s="138"/>
      <c r="E31" s="139"/>
      <c r="F31" s="137"/>
      <c r="G31" s="138"/>
      <c r="H31" s="139"/>
      <c r="I31" s="137"/>
      <c r="J31" s="138"/>
      <c r="K31" s="139"/>
      <c r="L31" s="137"/>
      <c r="M31" s="138"/>
      <c r="N31" s="139"/>
      <c r="O31" s="137"/>
      <c r="P31" s="138"/>
      <c r="Q31" s="221"/>
      <c r="R31" s="191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100">
        <f t="shared" si="2"/>
        <v>46348</v>
      </c>
      <c r="B32" s="151"/>
      <c r="C32" s="137"/>
      <c r="D32" s="138"/>
      <c r="E32" s="139"/>
      <c r="F32" s="137"/>
      <c r="G32" s="138"/>
      <c r="H32" s="139"/>
      <c r="I32" s="137"/>
      <c r="J32" s="138"/>
      <c r="K32" s="139"/>
      <c r="L32" s="137"/>
      <c r="M32" s="138"/>
      <c r="N32" s="139"/>
      <c r="O32" s="137"/>
      <c r="P32" s="138"/>
      <c r="Q32" s="204"/>
      <c r="R32" s="191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100">
        <f t="shared" si="2"/>
        <v>46349</v>
      </c>
      <c r="B33" s="151"/>
      <c r="C33" s="137"/>
      <c r="D33" s="138"/>
      <c r="E33" s="139"/>
      <c r="F33" s="137"/>
      <c r="G33" s="138"/>
      <c r="H33" s="139"/>
      <c r="I33" s="137"/>
      <c r="J33" s="138"/>
      <c r="K33" s="139"/>
      <c r="L33" s="137"/>
      <c r="M33" s="138"/>
      <c r="N33" s="139"/>
      <c r="O33" s="137"/>
      <c r="P33" s="138"/>
      <c r="Q33" s="204"/>
      <c r="R33" s="191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100">
        <f t="shared" si="2"/>
        <v>46350</v>
      </c>
      <c r="B34" s="151"/>
      <c r="C34" s="137"/>
      <c r="D34" s="138"/>
      <c r="E34" s="139"/>
      <c r="F34" s="137"/>
      <c r="G34" s="138"/>
      <c r="H34" s="139"/>
      <c r="I34" s="137"/>
      <c r="J34" s="138"/>
      <c r="K34" s="139"/>
      <c r="L34" s="137"/>
      <c r="M34" s="138"/>
      <c r="N34" s="139"/>
      <c r="O34" s="137"/>
      <c r="P34" s="138"/>
      <c r="Q34" s="204"/>
      <c r="R34" s="191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100">
        <f t="shared" si="2"/>
        <v>46351</v>
      </c>
      <c r="B35" s="151"/>
      <c r="C35" s="137"/>
      <c r="D35" s="138"/>
      <c r="E35" s="139"/>
      <c r="F35" s="137"/>
      <c r="G35" s="138"/>
      <c r="H35" s="139"/>
      <c r="I35" s="137"/>
      <c r="J35" s="138"/>
      <c r="K35" s="139"/>
      <c r="L35" s="137"/>
      <c r="M35" s="138"/>
      <c r="N35" s="139"/>
      <c r="O35" s="137"/>
      <c r="P35" s="138"/>
      <c r="Q35" s="204"/>
      <c r="R35" s="262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149">
        <f t="shared" si="2"/>
        <v>46352</v>
      </c>
      <c r="B36" s="162"/>
      <c r="C36" s="144"/>
      <c r="D36" s="145"/>
      <c r="E36" s="146"/>
      <c r="F36" s="144"/>
      <c r="G36" s="145"/>
      <c r="H36" s="146"/>
      <c r="I36" s="144"/>
      <c r="J36" s="145"/>
      <c r="K36" s="146"/>
      <c r="L36" s="144"/>
      <c r="M36" s="145"/>
      <c r="N36" s="146"/>
      <c r="O36" s="144"/>
      <c r="P36" s="145"/>
      <c r="Q36" s="256" t="s">
        <v>41</v>
      </c>
      <c r="R36" s="257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149">
        <f t="shared" si="2"/>
        <v>46353</v>
      </c>
      <c r="B37" s="162"/>
      <c r="C37" s="144"/>
      <c r="D37" s="145"/>
      <c r="E37" s="146"/>
      <c r="F37" s="144"/>
      <c r="G37" s="145"/>
      <c r="H37" s="146"/>
      <c r="I37" s="144"/>
      <c r="J37" s="145"/>
      <c r="K37" s="146"/>
      <c r="L37" s="144"/>
      <c r="M37" s="145"/>
      <c r="N37" s="146"/>
      <c r="O37" s="144"/>
      <c r="P37" s="145"/>
      <c r="Q37" s="256" t="s">
        <v>55</v>
      </c>
      <c r="R37" s="257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100">
        <f t="shared" si="2"/>
        <v>46354</v>
      </c>
      <c r="B38" s="151"/>
      <c r="C38" s="137"/>
      <c r="D38" s="138"/>
      <c r="E38" s="139"/>
      <c r="F38" s="137"/>
      <c r="G38" s="138"/>
      <c r="H38" s="139"/>
      <c r="I38" s="137"/>
      <c r="J38" s="138"/>
      <c r="K38" s="139"/>
      <c r="L38" s="137"/>
      <c r="M38" s="138"/>
      <c r="N38" s="139"/>
      <c r="O38" s="137"/>
      <c r="P38" s="138"/>
      <c r="Q38" s="204"/>
      <c r="R38" s="191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100">
        <f t="shared" si="2"/>
        <v>46355</v>
      </c>
      <c r="B39" s="151"/>
      <c r="C39" s="137"/>
      <c r="D39" s="138"/>
      <c r="E39" s="139"/>
      <c r="F39" s="137"/>
      <c r="G39" s="138"/>
      <c r="H39" s="139"/>
      <c r="I39" s="137"/>
      <c r="J39" s="138"/>
      <c r="K39" s="139"/>
      <c r="L39" s="137"/>
      <c r="M39" s="138"/>
      <c r="N39" s="139"/>
      <c r="O39" s="137"/>
      <c r="P39" s="138"/>
      <c r="Q39" s="204"/>
      <c r="R39" s="191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thickBot="1" x14ac:dyDescent="0.3">
      <c r="A40" s="100">
        <f t="shared" si="2"/>
        <v>46356</v>
      </c>
      <c r="B40" s="151"/>
      <c r="C40" s="137"/>
      <c r="D40" s="138"/>
      <c r="E40" s="139"/>
      <c r="F40" s="137"/>
      <c r="G40" s="138"/>
      <c r="H40" s="139"/>
      <c r="I40" s="137"/>
      <c r="J40" s="138"/>
      <c r="K40" s="139"/>
      <c r="L40" s="137"/>
      <c r="M40" s="138"/>
      <c r="N40" s="139"/>
      <c r="O40" s="137"/>
      <c r="P40" s="138"/>
      <c r="Q40" s="204"/>
      <c r="R40" s="191"/>
      <c r="S40" s="6"/>
      <c r="T40" s="6"/>
      <c r="U40" s="38"/>
      <c r="V40" s="38"/>
      <c r="W40" s="6"/>
      <c r="X40" s="6"/>
      <c r="Y40" s="6"/>
      <c r="Z40" s="6"/>
      <c r="AA40" s="6"/>
      <c r="AB40" s="6"/>
      <c r="AC40" s="6"/>
    </row>
    <row r="41" spans="1:29" ht="15.75" customHeight="1" x14ac:dyDescent="0.25">
      <c r="A41" s="111" t="s">
        <v>24</v>
      </c>
      <c r="B41" s="206">
        <f>SUM(B26:B40)</f>
        <v>0</v>
      </c>
      <c r="C41" s="207"/>
      <c r="D41" s="208"/>
      <c r="E41" s="214">
        <f>SUM(E26:E40)</f>
        <v>0</v>
      </c>
      <c r="F41" s="207"/>
      <c r="G41" s="215"/>
      <c r="H41" s="206">
        <f>SUM(H26:H40)</f>
        <v>0</v>
      </c>
      <c r="I41" s="207"/>
      <c r="J41" s="208"/>
      <c r="K41" s="214">
        <f>SUM(K26:K40)</f>
        <v>0</v>
      </c>
      <c r="L41" s="207"/>
      <c r="M41" s="215"/>
      <c r="N41" s="214">
        <f>SUM(N26:N40)</f>
        <v>0</v>
      </c>
      <c r="O41" s="207"/>
      <c r="P41" s="215"/>
      <c r="Q41" s="103" t="s">
        <v>18</v>
      </c>
      <c r="R41" s="112">
        <f t="shared" ref="R41:R43" si="3">SUM(B41:P41)</f>
        <v>0</v>
      </c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</row>
    <row r="42" spans="1:29" ht="15.75" customHeight="1" x14ac:dyDescent="0.25">
      <c r="A42" s="113" t="s">
        <v>25</v>
      </c>
      <c r="B42" s="189">
        <f>SUM(C26:C41)</f>
        <v>0</v>
      </c>
      <c r="C42" s="190"/>
      <c r="D42" s="191"/>
      <c r="E42" s="192">
        <f>SUM(F26:F41)</f>
        <v>0</v>
      </c>
      <c r="F42" s="190"/>
      <c r="G42" s="216"/>
      <c r="H42" s="189">
        <f>SUM(I26:I41)</f>
        <v>0</v>
      </c>
      <c r="I42" s="190"/>
      <c r="J42" s="191"/>
      <c r="K42" s="192">
        <f>SUM(L26:L41)</f>
        <v>0</v>
      </c>
      <c r="L42" s="190"/>
      <c r="M42" s="216"/>
      <c r="N42" s="192">
        <f>SUM(O26:O41)</f>
        <v>0</v>
      </c>
      <c r="O42" s="190"/>
      <c r="P42" s="216"/>
      <c r="Q42" s="106" t="s">
        <v>26</v>
      </c>
      <c r="R42" s="114">
        <f t="shared" si="3"/>
        <v>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thickBot="1" x14ac:dyDescent="0.3">
      <c r="A43" s="115" t="s">
        <v>27</v>
      </c>
      <c r="B43" s="184">
        <f>SUM(D26:D40)</f>
        <v>0</v>
      </c>
      <c r="C43" s="182"/>
      <c r="D43" s="185"/>
      <c r="E43" s="181">
        <f>SUM(G26:G40)</f>
        <v>0</v>
      </c>
      <c r="F43" s="182"/>
      <c r="G43" s="183"/>
      <c r="H43" s="184">
        <f>SUM(J26:J40)</f>
        <v>0</v>
      </c>
      <c r="I43" s="182"/>
      <c r="J43" s="185"/>
      <c r="K43" s="181">
        <f>SUM(M26:M40)</f>
        <v>0</v>
      </c>
      <c r="L43" s="182"/>
      <c r="M43" s="183"/>
      <c r="N43" s="181">
        <f>SUM(P26:P40)</f>
        <v>0</v>
      </c>
      <c r="O43" s="182"/>
      <c r="P43" s="183"/>
      <c r="Q43" s="109" t="s">
        <v>23</v>
      </c>
      <c r="R43" s="116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21" hidden="1" customHeight="1" x14ac:dyDescent="0.25">
      <c r="A44" s="157"/>
      <c r="B44" s="186" t="str">
        <f>IF(ISBLANK(B6),"",B6)</f>
        <v/>
      </c>
      <c r="C44" s="187"/>
      <c r="D44" s="188"/>
      <c r="E44" s="186" t="str">
        <f>IF(ISBLANK(E6),"",E6)</f>
        <v/>
      </c>
      <c r="F44" s="187"/>
      <c r="G44" s="188"/>
      <c r="H44" s="186" t="str">
        <f>IF(ISBLANK(H6),"",H6)</f>
        <v/>
      </c>
      <c r="I44" s="187"/>
      <c r="J44" s="188"/>
      <c r="K44" s="186" t="str">
        <f>IF(ISBLANK(K6),"",K6)</f>
        <v/>
      </c>
      <c r="L44" s="187"/>
      <c r="M44" s="188"/>
      <c r="N44" s="186" t="str">
        <f>IF(ISBLANK(N6),"",N6)</f>
        <v/>
      </c>
      <c r="O44" s="187"/>
      <c r="P44" s="188"/>
      <c r="Q44" s="179"/>
      <c r="R44" s="180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15.75" customHeight="1" x14ac:dyDescent="0.25">
      <c r="A45" s="117" t="s">
        <v>28</v>
      </c>
      <c r="B45" s="206">
        <f>B23+B41</f>
        <v>0</v>
      </c>
      <c r="C45" s="207"/>
      <c r="D45" s="208"/>
      <c r="E45" s="209">
        <f>E23+E41</f>
        <v>0</v>
      </c>
      <c r="F45" s="210"/>
      <c r="G45" s="211"/>
      <c r="H45" s="209">
        <f>H23+H41</f>
        <v>0</v>
      </c>
      <c r="I45" s="210"/>
      <c r="J45" s="211"/>
      <c r="K45" s="209">
        <f>K23+K41</f>
        <v>0</v>
      </c>
      <c r="L45" s="210"/>
      <c r="M45" s="211"/>
      <c r="N45" s="209">
        <f>N23+N41</f>
        <v>0</v>
      </c>
      <c r="O45" s="210"/>
      <c r="P45" s="211"/>
      <c r="Q45" s="103" t="s">
        <v>18</v>
      </c>
      <c r="R45" s="112">
        <f t="shared" ref="R45:R47" si="4">SUM(B45:P45)</f>
        <v>0</v>
      </c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25">
      <c r="A46" s="105" t="s">
        <v>29</v>
      </c>
      <c r="B46" s="192">
        <f>B24+B42</f>
        <v>0</v>
      </c>
      <c r="C46" s="190"/>
      <c r="D46" s="191"/>
      <c r="E46" s="189">
        <f>E24+E42</f>
        <v>0</v>
      </c>
      <c r="F46" s="190"/>
      <c r="G46" s="191"/>
      <c r="H46" s="189">
        <f>H24+H42</f>
        <v>0</v>
      </c>
      <c r="I46" s="190"/>
      <c r="J46" s="191"/>
      <c r="K46" s="189">
        <f>K24+K42</f>
        <v>0</v>
      </c>
      <c r="L46" s="190"/>
      <c r="M46" s="191"/>
      <c r="N46" s="189">
        <f>N24+N42</f>
        <v>0</v>
      </c>
      <c r="O46" s="190"/>
      <c r="P46" s="191"/>
      <c r="Q46" s="106" t="s">
        <v>26</v>
      </c>
      <c r="R46" s="114">
        <f t="shared" si="4"/>
        <v>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thickBot="1" x14ac:dyDescent="0.3">
      <c r="A47" s="118" t="s">
        <v>30</v>
      </c>
      <c r="B47" s="181">
        <f>B25+B43</f>
        <v>0</v>
      </c>
      <c r="C47" s="182"/>
      <c r="D47" s="185"/>
      <c r="E47" s="184">
        <f>E25+E43</f>
        <v>0</v>
      </c>
      <c r="F47" s="182"/>
      <c r="G47" s="185"/>
      <c r="H47" s="184">
        <f>H25+H43</f>
        <v>0</v>
      </c>
      <c r="I47" s="182"/>
      <c r="J47" s="185"/>
      <c r="K47" s="184">
        <f>K25+K43</f>
        <v>0</v>
      </c>
      <c r="L47" s="182"/>
      <c r="M47" s="185"/>
      <c r="N47" s="184">
        <f>N25+N43</f>
        <v>0</v>
      </c>
      <c r="O47" s="182"/>
      <c r="P47" s="185"/>
      <c r="Q47" s="109" t="s">
        <v>23</v>
      </c>
      <c r="R47" s="116">
        <f t="shared" si="4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7.5" hidden="1" customHeight="1" x14ac:dyDescent="0.25">
      <c r="A48" s="119"/>
      <c r="B48" s="186" t="str">
        <f>IF(ISBLANK(B10),"",B10)</f>
        <v/>
      </c>
      <c r="C48" s="187"/>
      <c r="D48" s="188"/>
      <c r="E48" s="186" t="str">
        <f>IF(ISBLANK(E10),"",E10)</f>
        <v/>
      </c>
      <c r="F48" s="187"/>
      <c r="G48" s="188"/>
      <c r="H48" s="186" t="str">
        <f>IF(ISBLANK(H10),"",H10)</f>
        <v/>
      </c>
      <c r="I48" s="187"/>
      <c r="J48" s="188"/>
      <c r="K48" s="186" t="str">
        <f>IF(ISBLANK(K10),"",K10)</f>
        <v/>
      </c>
      <c r="L48" s="187"/>
      <c r="M48" s="188"/>
      <c r="N48" s="186" t="str">
        <f>IF(ISBLANK(N10),"",N10)</f>
        <v/>
      </c>
      <c r="O48" s="187"/>
      <c r="P48" s="188"/>
      <c r="Q48" s="179"/>
      <c r="R48" s="180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15.75" customHeight="1" thickBot="1" x14ac:dyDescent="0.3">
      <c r="A49" s="158" t="s">
        <v>31</v>
      </c>
      <c r="B49" s="203">
        <f>SUM(B45:D47)</f>
        <v>0</v>
      </c>
      <c r="C49" s="187"/>
      <c r="D49" s="188"/>
      <c r="E49" s="198">
        <f>SUM(E45:G47)</f>
        <v>0</v>
      </c>
      <c r="F49" s="196"/>
      <c r="G49" s="197"/>
      <c r="H49" s="198">
        <f>SUM(H45:J47)</f>
        <v>0</v>
      </c>
      <c r="I49" s="196"/>
      <c r="J49" s="197"/>
      <c r="K49" s="198">
        <f>SUM(K45:M47)</f>
        <v>0</v>
      </c>
      <c r="L49" s="196"/>
      <c r="M49" s="197"/>
      <c r="N49" s="198">
        <f>SUM(N45:P47)</f>
        <v>0</v>
      </c>
      <c r="O49" s="196"/>
      <c r="P49" s="197"/>
      <c r="Q49" s="198">
        <f t="shared" ref="Q49:Q50" si="5">SUM(B49:P49)</f>
        <v>0</v>
      </c>
      <c r="R49" s="197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thickBot="1" x14ac:dyDescent="0.3">
      <c r="A50" s="120" t="s">
        <v>32</v>
      </c>
      <c r="B50" s="195">
        <f>(B45+B47)/((NETWORKDAYS($P$1,EOMONTH($P$1,0), HO))*8)</f>
        <v>0</v>
      </c>
      <c r="C50" s="196"/>
      <c r="D50" s="197"/>
      <c r="E50" s="195">
        <f>(E45+E47)/((NETWORKDAYS($P$1,EOMONTH($P$1,0), HO))*8)</f>
        <v>0</v>
      </c>
      <c r="F50" s="196"/>
      <c r="G50" s="197"/>
      <c r="H50" s="195">
        <f>(H45+H47)/((NETWORKDAYS($P$1,EOMONTH($P$1,0), HO))*8)</f>
        <v>0</v>
      </c>
      <c r="I50" s="196"/>
      <c r="J50" s="197"/>
      <c r="K50" s="195">
        <f>(K45+K47)/((NETWORKDAYS($P$1,EOMONTH($P$1,0), HO))*8)</f>
        <v>0</v>
      </c>
      <c r="L50" s="196"/>
      <c r="M50" s="197"/>
      <c r="N50" s="195">
        <f>(N45+N47)/((NETWORKDAYS($P$1,EOMONTH($P$1,0), HO))*8)</f>
        <v>0</v>
      </c>
      <c r="O50" s="196"/>
      <c r="P50" s="197"/>
      <c r="Q50" s="195">
        <f t="shared" si="5"/>
        <v>0</v>
      </c>
      <c r="R50" s="197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thickBot="1" x14ac:dyDescent="0.3">
      <c r="A51" s="120" t="s">
        <v>33</v>
      </c>
      <c r="B51" s="198">
        <f>R45+R47</f>
        <v>0</v>
      </c>
      <c r="C51" s="196"/>
      <c r="D51" s="197"/>
      <c r="E51" s="195" t="s">
        <v>21</v>
      </c>
      <c r="F51" s="196"/>
      <c r="G51" s="197"/>
      <c r="H51" s="198">
        <f>R46</f>
        <v>0</v>
      </c>
      <c r="I51" s="196"/>
      <c r="J51" s="197"/>
      <c r="K51" s="198">
        <f>R46</f>
        <v>0</v>
      </c>
      <c r="L51" s="196"/>
      <c r="M51" s="197"/>
      <c r="N51" s="195" t="s">
        <v>34</v>
      </c>
      <c r="O51" s="196"/>
      <c r="P51" s="197"/>
      <c r="Q51" s="198">
        <f>B51+H51</f>
        <v>0</v>
      </c>
      <c r="R51" s="197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24.75" customHeight="1" x14ac:dyDescent="0.25">
      <c r="A52" s="199" t="s">
        <v>35</v>
      </c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31.5" customHeight="1" thickBot="1" x14ac:dyDescent="0.3">
      <c r="A53" s="201" t="s">
        <v>36</v>
      </c>
      <c r="B53" s="201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202" t="s">
        <v>37</v>
      </c>
      <c r="P53" s="202"/>
      <c r="Q53" s="152"/>
      <c r="R53" s="152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15.75" customHeight="1" x14ac:dyDescent="0.25">
      <c r="A54" s="121"/>
      <c r="B54" s="90"/>
      <c r="C54" s="90"/>
      <c r="D54" s="91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193" t="s">
        <v>38</v>
      </c>
      <c r="B55" s="194"/>
      <c r="C55" s="125"/>
      <c r="D55" s="126"/>
      <c r="E55" s="38"/>
      <c r="F55" s="127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23.25" customHeight="1" x14ac:dyDescent="0.25">
      <c r="A56" s="193" t="s">
        <v>39</v>
      </c>
      <c r="B56" s="194"/>
      <c r="C56" s="123"/>
      <c r="D56" s="124"/>
      <c r="E56" s="123"/>
      <c r="F56" s="12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5.75" customHeight="1" x14ac:dyDescent="0.25">
      <c r="A57" s="122"/>
      <c r="B57" s="38"/>
      <c r="C57" s="38"/>
      <c r="D57" s="52"/>
      <c r="E57" s="38"/>
      <c r="F57" s="127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51"/>
      <c r="B58" s="38"/>
      <c r="C58" s="38"/>
      <c r="D58" s="52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33">
    <mergeCell ref="A52:R52"/>
    <mergeCell ref="A53:B53"/>
    <mergeCell ref="O53:P53"/>
    <mergeCell ref="A55:B55"/>
    <mergeCell ref="A56:B56"/>
    <mergeCell ref="B51:D51"/>
    <mergeCell ref="E51:G51"/>
    <mergeCell ref="H51:J51"/>
    <mergeCell ref="K51:M51"/>
    <mergeCell ref="N51:P51"/>
    <mergeCell ref="Q51:R51"/>
    <mergeCell ref="B50:D50"/>
    <mergeCell ref="E50:G50"/>
    <mergeCell ref="H50:J50"/>
    <mergeCell ref="K50:M50"/>
    <mergeCell ref="N50:P50"/>
    <mergeCell ref="Q50:R50"/>
    <mergeCell ref="Q48:R48"/>
    <mergeCell ref="B49:D49"/>
    <mergeCell ref="E49:G49"/>
    <mergeCell ref="H49:J49"/>
    <mergeCell ref="K49:M49"/>
    <mergeCell ref="N49:P49"/>
    <mergeCell ref="Q49:R49"/>
    <mergeCell ref="B47:D47"/>
    <mergeCell ref="E47:G47"/>
    <mergeCell ref="H47:J47"/>
    <mergeCell ref="K47:M47"/>
    <mergeCell ref="N47:P47"/>
    <mergeCell ref="B48:D48"/>
    <mergeCell ref="E48:G48"/>
    <mergeCell ref="H48:J48"/>
    <mergeCell ref="K48:M48"/>
    <mergeCell ref="N48:P48"/>
    <mergeCell ref="B45:D45"/>
    <mergeCell ref="E45:G45"/>
    <mergeCell ref="H45:J45"/>
    <mergeCell ref="K45:M45"/>
    <mergeCell ref="N45:P45"/>
    <mergeCell ref="B46:D46"/>
    <mergeCell ref="E46:G46"/>
    <mergeCell ref="H46:J46"/>
    <mergeCell ref="K46:M46"/>
    <mergeCell ref="N46:P46"/>
    <mergeCell ref="B44:D44"/>
    <mergeCell ref="E44:G44"/>
    <mergeCell ref="H44:J44"/>
    <mergeCell ref="K44:M44"/>
    <mergeCell ref="N44:P44"/>
    <mergeCell ref="Q44:R44"/>
    <mergeCell ref="B42:D42"/>
    <mergeCell ref="E42:G42"/>
    <mergeCell ref="H42:J42"/>
    <mergeCell ref="K42:M42"/>
    <mergeCell ref="N42:P42"/>
    <mergeCell ref="B43:D43"/>
    <mergeCell ref="E43:G43"/>
    <mergeCell ref="H43:J43"/>
    <mergeCell ref="K43:M43"/>
    <mergeCell ref="N43:P43"/>
    <mergeCell ref="Q38:R38"/>
    <mergeCell ref="Q39:R39"/>
    <mergeCell ref="Q40:R40"/>
    <mergeCell ref="B41:D41"/>
    <mergeCell ref="E41:G41"/>
    <mergeCell ref="H41:J41"/>
    <mergeCell ref="K41:M41"/>
    <mergeCell ref="N41:P41"/>
    <mergeCell ref="Q32:R32"/>
    <mergeCell ref="Q33:R33"/>
    <mergeCell ref="Q34:R34"/>
    <mergeCell ref="Q35:R35"/>
    <mergeCell ref="Q36:R36"/>
    <mergeCell ref="Q37:R37"/>
    <mergeCell ref="Q30:R30"/>
    <mergeCell ref="Q31:R31"/>
    <mergeCell ref="B24:D24"/>
    <mergeCell ref="E24:G24"/>
    <mergeCell ref="H24:J24"/>
    <mergeCell ref="K24:M24"/>
    <mergeCell ref="N24:P24"/>
    <mergeCell ref="B25:D25"/>
    <mergeCell ref="E25:G25"/>
    <mergeCell ref="H25:J25"/>
    <mergeCell ref="K25:M25"/>
    <mergeCell ref="N25:P25"/>
    <mergeCell ref="Q13:R13"/>
    <mergeCell ref="Q8:R8"/>
    <mergeCell ref="Q9:R9"/>
    <mergeCell ref="Q11:R11"/>
    <mergeCell ref="Q12:R12"/>
    <mergeCell ref="Q26:R26"/>
    <mergeCell ref="Q27:R27"/>
    <mergeCell ref="Q28:R28"/>
    <mergeCell ref="Q29:R29"/>
    <mergeCell ref="Q20:R20"/>
    <mergeCell ref="Q21:R21"/>
    <mergeCell ref="Q22:R22"/>
    <mergeCell ref="Q10:R10"/>
    <mergeCell ref="B23:D23"/>
    <mergeCell ref="E23:G23"/>
    <mergeCell ref="H23:J23"/>
    <mergeCell ref="K23:M23"/>
    <mergeCell ref="N23:P23"/>
    <mergeCell ref="Q14:R14"/>
    <mergeCell ref="Q15:R15"/>
    <mergeCell ref="Q16:R16"/>
    <mergeCell ref="Q17:R17"/>
    <mergeCell ref="Q18:R18"/>
    <mergeCell ref="Q19:R19"/>
    <mergeCell ref="N5:P5"/>
    <mergeCell ref="A1:B1"/>
    <mergeCell ref="C1:O1"/>
    <mergeCell ref="P1:R1"/>
    <mergeCell ref="A2:B2"/>
    <mergeCell ref="C2:R2"/>
    <mergeCell ref="A3:B3"/>
    <mergeCell ref="C3:R3"/>
    <mergeCell ref="B4:D4"/>
    <mergeCell ref="E4:G4"/>
    <mergeCell ref="H4:J4"/>
    <mergeCell ref="K4:M4"/>
    <mergeCell ref="N4:P4"/>
    <mergeCell ref="Q4:R7"/>
    <mergeCell ref="B5:D5"/>
    <mergeCell ref="E5:G5"/>
    <mergeCell ref="H5:J5"/>
    <mergeCell ref="K5:M5"/>
    <mergeCell ref="B6:D6"/>
    <mergeCell ref="E6:G6"/>
    <mergeCell ref="H6:J6"/>
    <mergeCell ref="K6:M6"/>
    <mergeCell ref="N6:P6"/>
  </mergeCells>
  <conditionalFormatting sqref="B23 K41:N41">
    <cfRule type="cellIs" dxfId="661" priority="7" operator="greaterThan">
      <formula>0</formula>
    </cfRule>
  </conditionalFormatting>
  <conditionalFormatting sqref="B24 K42:N42">
    <cfRule type="cellIs" dxfId="660" priority="4" operator="greaterThan">
      <formula>1</formula>
    </cfRule>
  </conditionalFormatting>
  <conditionalFormatting sqref="B24:B25 K43:N43">
    <cfRule type="cellIs" dxfId="659" priority="6" operator="greaterThan">
      <formula>0</formula>
    </cfRule>
  </conditionalFormatting>
  <conditionalFormatting sqref="B41">
    <cfRule type="cellIs" dxfId="658" priority="20" operator="greaterThan">
      <formula>0</formula>
    </cfRule>
  </conditionalFormatting>
  <conditionalFormatting sqref="B42">
    <cfRule type="cellIs" dxfId="657" priority="77" operator="greaterThan">
      <formula>1</formula>
    </cfRule>
    <cfRule type="cellIs" dxfId="656" priority="17" operator="greaterThan">
      <formula>1</formula>
    </cfRule>
  </conditionalFormatting>
  <conditionalFormatting sqref="B42:B43">
    <cfRule type="cellIs" dxfId="655" priority="19" operator="greaterThan">
      <formula>0</formula>
    </cfRule>
    <cfRule type="cellIs" dxfId="654" priority="79" operator="greaterThan">
      <formula>0</formula>
    </cfRule>
  </conditionalFormatting>
  <conditionalFormatting sqref="B45">
    <cfRule type="cellIs" dxfId="653" priority="14" operator="greaterThan">
      <formula>0</formula>
    </cfRule>
  </conditionalFormatting>
  <conditionalFormatting sqref="B46">
    <cfRule type="cellIs" dxfId="652" priority="11" operator="greaterThan">
      <formula>1</formula>
    </cfRule>
  </conditionalFormatting>
  <conditionalFormatting sqref="B46:B47">
    <cfRule type="cellIs" dxfId="651" priority="13" operator="greaterThan">
      <formula>0</formula>
    </cfRule>
  </conditionalFormatting>
  <conditionalFormatting sqref="B25:D25">
    <cfRule type="cellIs" dxfId="650" priority="52" operator="greaterThan">
      <formula>0</formula>
    </cfRule>
  </conditionalFormatting>
  <conditionalFormatting sqref="B43:D43">
    <cfRule type="cellIs" dxfId="649" priority="82" operator="greaterThan">
      <formula>0</formula>
    </cfRule>
  </conditionalFormatting>
  <conditionalFormatting sqref="B47:M47">
    <cfRule type="cellIs" dxfId="648" priority="119" operator="greaterThan">
      <formula>0</formula>
    </cfRule>
  </conditionalFormatting>
  <conditionalFormatting sqref="B49:M49">
    <cfRule type="cellIs" dxfId="647" priority="16" operator="greaterThan">
      <formula>0</formula>
    </cfRule>
  </conditionalFormatting>
  <conditionalFormatting sqref="B4:P5">
    <cfRule type="containsBlanks" dxfId="646" priority="1">
      <formula>LEN(TRIM(B4))=0</formula>
    </cfRule>
  </conditionalFormatting>
  <conditionalFormatting sqref="B47:P47 R47">
    <cfRule type="cellIs" dxfId="645" priority="10" operator="greaterThan">
      <formula>0</formula>
    </cfRule>
  </conditionalFormatting>
  <conditionalFormatting sqref="C2:R3">
    <cfRule type="containsBlanks" dxfId="644" priority="2">
      <formula>LEN(TRIM(C2))=0</formula>
    </cfRule>
  </conditionalFormatting>
  <conditionalFormatting sqref="E24">
    <cfRule type="cellIs" dxfId="643" priority="53" operator="greaterThan">
      <formula>1</formula>
    </cfRule>
  </conditionalFormatting>
  <conditionalFormatting sqref="E24:E25">
    <cfRule type="cellIs" dxfId="642" priority="55" operator="greaterThan">
      <formula>0</formula>
    </cfRule>
  </conditionalFormatting>
  <conditionalFormatting sqref="E41">
    <cfRule type="cellIs" dxfId="641" priority="25" operator="greaterThan">
      <formula>0</formula>
    </cfRule>
  </conditionalFormatting>
  <conditionalFormatting sqref="E42">
    <cfRule type="cellIs" dxfId="640" priority="22" operator="greaterThan">
      <formula>1</formula>
    </cfRule>
    <cfRule type="cellIs" dxfId="639" priority="83" operator="greaterThan">
      <formula>1</formula>
    </cfRule>
    <cfRule type="cellIs" dxfId="638" priority="88" operator="greaterThan">
      <formula>1</formula>
    </cfRule>
  </conditionalFormatting>
  <conditionalFormatting sqref="E42:E43">
    <cfRule type="cellIs" dxfId="637" priority="24" operator="greaterThan">
      <formula>0</formula>
    </cfRule>
    <cfRule type="cellIs" dxfId="636" priority="85" operator="greaterThan">
      <formula>0</formula>
    </cfRule>
    <cfRule type="cellIs" dxfId="635" priority="90" operator="greaterThan">
      <formula>0</formula>
    </cfRule>
  </conditionalFormatting>
  <conditionalFormatting sqref="E45">
    <cfRule type="cellIs" dxfId="634" priority="40" operator="greaterThan">
      <formula>0</formula>
    </cfRule>
  </conditionalFormatting>
  <conditionalFormatting sqref="E46">
    <cfRule type="cellIs" dxfId="633" priority="37" operator="greaterThan">
      <formula>1</formula>
    </cfRule>
  </conditionalFormatting>
  <conditionalFormatting sqref="E46:E47">
    <cfRule type="cellIs" dxfId="632" priority="39" operator="greaterThan">
      <formula>0</formula>
    </cfRule>
  </conditionalFormatting>
  <conditionalFormatting sqref="E25:G25">
    <cfRule type="cellIs" dxfId="631" priority="58" operator="greaterThan">
      <formula>0</formula>
    </cfRule>
  </conditionalFormatting>
  <conditionalFormatting sqref="E43:G43">
    <cfRule type="cellIs" dxfId="630" priority="93" operator="greaterThan">
      <formula>0</formula>
    </cfRule>
  </conditionalFormatting>
  <conditionalFormatting sqref="E23:H23">
    <cfRule type="cellIs" dxfId="629" priority="56" operator="greaterThan">
      <formula>0</formula>
    </cfRule>
  </conditionalFormatting>
  <conditionalFormatting sqref="E24:M24">
    <cfRule type="cellIs" dxfId="628" priority="72" operator="greaterThan">
      <formula>0</formula>
    </cfRule>
  </conditionalFormatting>
  <conditionalFormatting sqref="E42:M42">
    <cfRule type="cellIs" dxfId="627" priority="116" operator="greaterThan">
      <formula>0</formula>
    </cfRule>
  </conditionalFormatting>
  <conditionalFormatting sqref="H24">
    <cfRule type="cellIs" dxfId="626" priority="59" operator="greaterThan">
      <formula>1</formula>
    </cfRule>
  </conditionalFormatting>
  <conditionalFormatting sqref="H24:H25">
    <cfRule type="cellIs" dxfId="625" priority="61" operator="greaterThan">
      <formula>0</formula>
    </cfRule>
  </conditionalFormatting>
  <conditionalFormatting sqref="H41">
    <cfRule type="cellIs" dxfId="624" priority="30" operator="greaterThan">
      <formula>0</formula>
    </cfRule>
  </conditionalFormatting>
  <conditionalFormatting sqref="H42">
    <cfRule type="cellIs" dxfId="623" priority="27" operator="greaterThan">
      <formula>1</formula>
    </cfRule>
    <cfRule type="cellIs" dxfId="622" priority="99" operator="greaterThan">
      <formula>1</formula>
    </cfRule>
    <cfRule type="cellIs" dxfId="621" priority="94" operator="greaterThan">
      <formula>1</formula>
    </cfRule>
  </conditionalFormatting>
  <conditionalFormatting sqref="H42:H43">
    <cfRule type="cellIs" dxfId="620" priority="29" operator="greaterThan">
      <formula>0</formula>
    </cfRule>
    <cfRule type="cellIs" dxfId="619" priority="96" operator="greaterThan">
      <formula>0</formula>
    </cfRule>
    <cfRule type="cellIs" dxfId="618" priority="101" operator="greaterThan">
      <formula>0</formula>
    </cfRule>
  </conditionalFormatting>
  <conditionalFormatting sqref="H45">
    <cfRule type="cellIs" dxfId="617" priority="45" operator="greaterThan">
      <formula>0</formula>
    </cfRule>
  </conditionalFormatting>
  <conditionalFormatting sqref="H46">
    <cfRule type="cellIs" dxfId="616" priority="42" operator="greaterThan">
      <formula>1</formula>
    </cfRule>
  </conditionalFormatting>
  <conditionalFormatting sqref="H46:H47">
    <cfRule type="cellIs" dxfId="615" priority="44" operator="greaterThan">
      <formula>0</formula>
    </cfRule>
  </conditionalFormatting>
  <conditionalFormatting sqref="H25:J25">
    <cfRule type="cellIs" dxfId="614" priority="64" operator="greaterThan">
      <formula>0</formula>
    </cfRule>
  </conditionalFormatting>
  <conditionalFormatting sqref="H43:J43">
    <cfRule type="cellIs" dxfId="613" priority="104" operator="greaterThan">
      <formula>0</formula>
    </cfRule>
  </conditionalFormatting>
  <conditionalFormatting sqref="K24">
    <cfRule type="cellIs" dxfId="612" priority="66" operator="greaterThan">
      <formula>1</formula>
    </cfRule>
  </conditionalFormatting>
  <conditionalFormatting sqref="K24:K25">
    <cfRule type="cellIs" dxfId="611" priority="68" operator="greaterThan">
      <formula>0</formula>
    </cfRule>
  </conditionalFormatting>
  <conditionalFormatting sqref="K42">
    <cfRule type="cellIs" dxfId="610" priority="105" operator="greaterThan">
      <formula>1</formula>
    </cfRule>
    <cfRule type="cellIs" dxfId="609" priority="110" operator="greaterThan">
      <formula>1</formula>
    </cfRule>
  </conditionalFormatting>
  <conditionalFormatting sqref="K42:K43">
    <cfRule type="cellIs" dxfId="608" priority="34" operator="greaterThan">
      <formula>0</formula>
    </cfRule>
    <cfRule type="cellIs" dxfId="607" priority="107" operator="greaterThan">
      <formula>0</formula>
    </cfRule>
    <cfRule type="cellIs" dxfId="606" priority="112" operator="greaterThan">
      <formula>0</formula>
    </cfRule>
  </conditionalFormatting>
  <conditionalFormatting sqref="K45">
    <cfRule type="cellIs" dxfId="605" priority="50" operator="greaterThan">
      <formula>0</formula>
    </cfRule>
  </conditionalFormatting>
  <conditionalFormatting sqref="K46">
    <cfRule type="cellIs" dxfId="604" priority="47" operator="greaterThan">
      <formula>1</formula>
    </cfRule>
  </conditionalFormatting>
  <conditionalFormatting sqref="K46:K47">
    <cfRule type="cellIs" dxfId="603" priority="49" operator="greaterThan">
      <formula>0</formula>
    </cfRule>
  </conditionalFormatting>
  <conditionalFormatting sqref="K23:M23">
    <cfRule type="cellIs" dxfId="602" priority="69" operator="greaterThan">
      <formula>0</formula>
    </cfRule>
  </conditionalFormatting>
  <conditionalFormatting sqref="K25:M25">
    <cfRule type="cellIs" dxfId="601" priority="71" operator="greaterThan">
      <formula>0</formula>
    </cfRule>
  </conditionalFormatting>
  <conditionalFormatting sqref="K43:M43">
    <cfRule type="cellIs" dxfId="600" priority="115" operator="greaterThan">
      <formula>0</formula>
    </cfRule>
  </conditionalFormatting>
  <conditionalFormatting sqref="K46:M46">
    <cfRule type="cellIs" dxfId="599" priority="120" operator="greaterThan">
      <formula>0</formula>
    </cfRule>
  </conditionalFormatting>
  <conditionalFormatting sqref="K46:P46">
    <cfRule type="cellIs" dxfId="598" priority="9" operator="greaterThan">
      <formula>0</formula>
    </cfRule>
  </conditionalFormatting>
  <pageMargins left="0.25" right="0.25" top="0.75" bottom="0.75" header="0.3" footer="0.3"/>
  <pageSetup scale="7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63E5-6D01-4E5A-B7FC-F42B48DE3C8A}">
  <sheetPr>
    <outlinePr summaryBelow="0" summaryRight="0"/>
    <pageSetUpPr fitToPage="1"/>
  </sheetPr>
  <dimension ref="A1:AC999"/>
  <sheetViews>
    <sheetView zoomScale="93" zoomScaleNormal="100" workbookViewId="0">
      <selection activeCell="Q42" sqref="Q42"/>
    </sheetView>
  </sheetViews>
  <sheetFormatPr defaultColWidth="14.44140625" defaultRowHeight="15" customHeight="1" x14ac:dyDescent="0.25"/>
  <cols>
    <col min="1" max="1" width="24" customWidth="1"/>
    <col min="2" max="16" width="5.33203125" customWidth="1"/>
    <col min="17" max="17" width="17.5546875" bestFit="1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41.25" customHeight="1" thickBot="1" x14ac:dyDescent="0.35">
      <c r="A1" s="228" t="s">
        <v>0</v>
      </c>
      <c r="B1" s="229"/>
      <c r="C1" s="230" t="s">
        <v>1</v>
      </c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2">
        <v>46357</v>
      </c>
      <c r="Q1" s="231"/>
      <c r="R1" s="231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233" t="s">
        <v>2</v>
      </c>
      <c r="B2" s="215"/>
      <c r="C2" s="225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7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8" thickBot="1" x14ac:dyDescent="0.35">
      <c r="A3" s="247" t="s">
        <v>3</v>
      </c>
      <c r="B3" s="183"/>
      <c r="C3" s="234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6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54" customHeight="1" x14ac:dyDescent="0.25">
      <c r="A4" s="92" t="s">
        <v>4</v>
      </c>
      <c r="B4" s="240"/>
      <c r="C4" s="241"/>
      <c r="D4" s="242"/>
      <c r="E4" s="240"/>
      <c r="F4" s="241"/>
      <c r="G4" s="242"/>
      <c r="H4" s="240"/>
      <c r="I4" s="241"/>
      <c r="J4" s="242"/>
      <c r="K4" s="240"/>
      <c r="L4" s="241"/>
      <c r="M4" s="242"/>
      <c r="N4" s="240"/>
      <c r="O4" s="241"/>
      <c r="P4" s="242"/>
      <c r="Q4" s="243" t="s">
        <v>5</v>
      </c>
      <c r="R4" s="244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93" t="s">
        <v>6</v>
      </c>
      <c r="B5" s="237"/>
      <c r="C5" s="238"/>
      <c r="D5" s="239"/>
      <c r="E5" s="237"/>
      <c r="F5" s="238"/>
      <c r="G5" s="239"/>
      <c r="H5" s="237"/>
      <c r="I5" s="238"/>
      <c r="J5" s="239"/>
      <c r="K5" s="237"/>
      <c r="L5" s="238"/>
      <c r="M5" s="239"/>
      <c r="N5" s="237"/>
      <c r="O5" s="238"/>
      <c r="P5" s="239"/>
      <c r="Q5" s="245"/>
      <c r="R5" s="180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thickBot="1" x14ac:dyDescent="0.3">
      <c r="A6" s="94" t="s">
        <v>7</v>
      </c>
      <c r="B6" s="237"/>
      <c r="C6" s="238"/>
      <c r="D6" s="239"/>
      <c r="E6" s="237"/>
      <c r="F6" s="238"/>
      <c r="G6" s="239"/>
      <c r="H6" s="237"/>
      <c r="I6" s="238"/>
      <c r="J6" s="239"/>
      <c r="K6" s="237"/>
      <c r="L6" s="238"/>
      <c r="M6" s="239"/>
      <c r="N6" s="237"/>
      <c r="O6" s="238"/>
      <c r="P6" s="239"/>
      <c r="Q6" s="245"/>
      <c r="R6" s="180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thickBot="1" x14ac:dyDescent="0.3">
      <c r="A7" s="153"/>
      <c r="B7" s="95" t="s">
        <v>8</v>
      </c>
      <c r="C7" s="96" t="s">
        <v>9</v>
      </c>
      <c r="D7" s="97" t="s">
        <v>10</v>
      </c>
      <c r="E7" s="95" t="s">
        <v>8</v>
      </c>
      <c r="F7" s="96" t="s">
        <v>9</v>
      </c>
      <c r="G7" s="97" t="s">
        <v>10</v>
      </c>
      <c r="H7" s="95" t="s">
        <v>8</v>
      </c>
      <c r="I7" s="96" t="s">
        <v>9</v>
      </c>
      <c r="J7" s="97" t="s">
        <v>10</v>
      </c>
      <c r="K7" s="95" t="s">
        <v>8</v>
      </c>
      <c r="L7" s="96" t="s">
        <v>9</v>
      </c>
      <c r="M7" s="97" t="s">
        <v>10</v>
      </c>
      <c r="N7" s="95" t="s">
        <v>8</v>
      </c>
      <c r="O7" s="96" t="s">
        <v>9</v>
      </c>
      <c r="P7" s="97" t="s">
        <v>10</v>
      </c>
      <c r="Q7" s="246"/>
      <c r="R7" s="188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8" x14ac:dyDescent="0.25">
      <c r="A8" s="98">
        <v>46357</v>
      </c>
      <c r="B8" s="140"/>
      <c r="C8" s="141"/>
      <c r="D8" s="142"/>
      <c r="E8" s="143"/>
      <c r="F8" s="141"/>
      <c r="G8" s="142"/>
      <c r="H8" s="143"/>
      <c r="I8" s="141"/>
      <c r="J8" s="142"/>
      <c r="K8" s="143"/>
      <c r="L8" s="141"/>
      <c r="M8" s="142"/>
      <c r="N8" s="143"/>
      <c r="O8" s="141"/>
      <c r="P8" s="142"/>
      <c r="Q8" s="248"/>
      <c r="R8" s="20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8" x14ac:dyDescent="0.25">
      <c r="A9" s="99">
        <f t="shared" ref="A9:A22" si="0">A8+1</f>
        <v>46358</v>
      </c>
      <c r="B9" s="133"/>
      <c r="C9" s="134"/>
      <c r="D9" s="135"/>
      <c r="E9" s="136"/>
      <c r="F9" s="134"/>
      <c r="G9" s="135"/>
      <c r="H9" s="136"/>
      <c r="I9" s="134"/>
      <c r="J9" s="135"/>
      <c r="K9" s="136"/>
      <c r="L9" s="134"/>
      <c r="M9" s="135"/>
      <c r="N9" s="136"/>
      <c r="O9" s="134"/>
      <c r="P9" s="135"/>
      <c r="Q9" s="224"/>
      <c r="R9" s="191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3.8" x14ac:dyDescent="0.25">
      <c r="A10" s="100">
        <f t="shared" si="0"/>
        <v>46359</v>
      </c>
      <c r="B10" s="140"/>
      <c r="C10" s="137"/>
      <c r="D10" s="138"/>
      <c r="E10" s="139"/>
      <c r="F10" s="137"/>
      <c r="G10" s="138"/>
      <c r="H10" s="139"/>
      <c r="I10" s="137"/>
      <c r="J10" s="138"/>
      <c r="K10" s="139"/>
      <c r="L10" s="137"/>
      <c r="M10" s="138"/>
      <c r="N10" s="139"/>
      <c r="O10" s="137"/>
      <c r="P10" s="138"/>
      <c r="Q10" s="204"/>
      <c r="R10" s="191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8" x14ac:dyDescent="0.25">
      <c r="A11" s="100">
        <f t="shared" si="0"/>
        <v>46360</v>
      </c>
      <c r="B11" s="140"/>
      <c r="C11" s="137"/>
      <c r="D11" s="138"/>
      <c r="E11" s="139"/>
      <c r="F11" s="137"/>
      <c r="G11" s="138"/>
      <c r="H11" s="139"/>
      <c r="I11" s="137"/>
      <c r="J11" s="138"/>
      <c r="K11" s="139"/>
      <c r="L11" s="137"/>
      <c r="M11" s="138"/>
      <c r="N11" s="139"/>
      <c r="O11" s="137"/>
      <c r="P11" s="138"/>
      <c r="Q11" s="204"/>
      <c r="R11" s="191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8" x14ac:dyDescent="0.25">
      <c r="A12" s="100">
        <f t="shared" si="0"/>
        <v>46361</v>
      </c>
      <c r="B12" s="140"/>
      <c r="C12" s="137"/>
      <c r="D12" s="138"/>
      <c r="E12" s="139"/>
      <c r="F12" s="137"/>
      <c r="G12" s="138"/>
      <c r="H12" s="139"/>
      <c r="I12" s="137"/>
      <c r="J12" s="138"/>
      <c r="K12" s="139"/>
      <c r="L12" s="137"/>
      <c r="M12" s="138"/>
      <c r="N12" s="139"/>
      <c r="O12" s="137"/>
      <c r="P12" s="138"/>
      <c r="Q12" s="204"/>
      <c r="R12" s="191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8" x14ac:dyDescent="0.25">
      <c r="A13" s="100">
        <f t="shared" si="0"/>
        <v>46362</v>
      </c>
      <c r="B13" s="140"/>
      <c r="C13" s="137"/>
      <c r="D13" s="138"/>
      <c r="E13" s="139"/>
      <c r="F13" s="137"/>
      <c r="G13" s="138"/>
      <c r="H13" s="139"/>
      <c r="I13" s="137"/>
      <c r="J13" s="138"/>
      <c r="K13" s="139"/>
      <c r="L13" s="137"/>
      <c r="M13" s="138"/>
      <c r="N13" s="139"/>
      <c r="O13" s="137"/>
      <c r="P13" s="138"/>
      <c r="Q13" s="204"/>
      <c r="R13" s="191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8" x14ac:dyDescent="0.25">
      <c r="A14" s="100">
        <f t="shared" si="0"/>
        <v>46363</v>
      </c>
      <c r="B14" s="140"/>
      <c r="C14" s="137"/>
      <c r="D14" s="138"/>
      <c r="E14" s="139"/>
      <c r="F14" s="137"/>
      <c r="G14" s="138"/>
      <c r="H14" s="139"/>
      <c r="I14" s="137"/>
      <c r="J14" s="138"/>
      <c r="K14" s="139"/>
      <c r="L14" s="137"/>
      <c r="M14" s="138"/>
      <c r="N14" s="139"/>
      <c r="O14" s="137"/>
      <c r="P14" s="138"/>
      <c r="Q14" s="204"/>
      <c r="R14" s="191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8" x14ac:dyDescent="0.25">
      <c r="A15" s="100">
        <f t="shared" si="0"/>
        <v>46364</v>
      </c>
      <c r="B15" s="140"/>
      <c r="C15" s="137"/>
      <c r="D15" s="138"/>
      <c r="E15" s="139"/>
      <c r="F15" s="137"/>
      <c r="G15" s="138"/>
      <c r="H15" s="139"/>
      <c r="I15" s="137"/>
      <c r="J15" s="138"/>
      <c r="K15" s="139"/>
      <c r="L15" s="137"/>
      <c r="M15" s="138"/>
      <c r="N15" s="139"/>
      <c r="O15" s="137"/>
      <c r="P15" s="138"/>
      <c r="Q15" s="205"/>
      <c r="R15" s="191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8" x14ac:dyDescent="0.25">
      <c r="A16" s="100">
        <f t="shared" si="0"/>
        <v>46365</v>
      </c>
      <c r="B16" s="140"/>
      <c r="C16" s="137"/>
      <c r="D16" s="138"/>
      <c r="E16" s="139"/>
      <c r="F16" s="137"/>
      <c r="G16" s="138"/>
      <c r="H16" s="139"/>
      <c r="I16" s="137"/>
      <c r="J16" s="138"/>
      <c r="K16" s="139"/>
      <c r="L16" s="137"/>
      <c r="M16" s="138"/>
      <c r="N16" s="139"/>
      <c r="O16" s="137"/>
      <c r="P16" s="138"/>
      <c r="Q16" s="204"/>
      <c r="R16" s="191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4.4" x14ac:dyDescent="0.3">
      <c r="A17" s="100">
        <f t="shared" si="0"/>
        <v>46366</v>
      </c>
      <c r="B17" s="140"/>
      <c r="C17" s="137"/>
      <c r="D17" s="138"/>
      <c r="E17" s="139"/>
      <c r="F17" s="137"/>
      <c r="G17" s="138"/>
      <c r="H17" s="139"/>
      <c r="I17" s="137"/>
      <c r="J17" s="138"/>
      <c r="K17" s="139"/>
      <c r="L17" s="137"/>
      <c r="M17" s="138"/>
      <c r="N17" s="139"/>
      <c r="O17" s="137"/>
      <c r="P17" s="138"/>
      <c r="Q17" s="204"/>
      <c r="R17" s="191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4.4" x14ac:dyDescent="0.3">
      <c r="A18" s="100">
        <f t="shared" si="0"/>
        <v>46367</v>
      </c>
      <c r="B18" s="140"/>
      <c r="C18" s="137"/>
      <c r="D18" s="138"/>
      <c r="E18" s="139"/>
      <c r="F18" s="137"/>
      <c r="G18" s="138"/>
      <c r="H18" s="139"/>
      <c r="I18" s="137"/>
      <c r="J18" s="138"/>
      <c r="K18" s="139"/>
      <c r="L18" s="137"/>
      <c r="M18" s="138"/>
      <c r="N18" s="139"/>
      <c r="O18" s="137"/>
      <c r="P18" s="138"/>
      <c r="Q18" s="205"/>
      <c r="R18" s="191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4.4" x14ac:dyDescent="0.3">
      <c r="A19" s="100">
        <f t="shared" si="0"/>
        <v>46368</v>
      </c>
      <c r="B19" s="140"/>
      <c r="C19" s="137"/>
      <c r="D19" s="138"/>
      <c r="E19" s="139"/>
      <c r="F19" s="137"/>
      <c r="G19" s="138"/>
      <c r="H19" s="139"/>
      <c r="I19" s="137"/>
      <c r="J19" s="138"/>
      <c r="K19" s="139"/>
      <c r="L19" s="137"/>
      <c r="M19" s="138"/>
      <c r="N19" s="139"/>
      <c r="O19" s="137"/>
      <c r="P19" s="138"/>
      <c r="Q19" s="204"/>
      <c r="R19" s="191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4.4" x14ac:dyDescent="0.3">
      <c r="A20" s="100">
        <f t="shared" si="0"/>
        <v>46369</v>
      </c>
      <c r="B20" s="140"/>
      <c r="C20" s="137"/>
      <c r="D20" s="138"/>
      <c r="E20" s="139"/>
      <c r="F20" s="137"/>
      <c r="G20" s="138"/>
      <c r="H20" s="139"/>
      <c r="I20" s="137"/>
      <c r="J20" s="138"/>
      <c r="K20" s="139"/>
      <c r="L20" s="137"/>
      <c r="M20" s="138"/>
      <c r="N20" s="139"/>
      <c r="O20" s="137"/>
      <c r="P20" s="138"/>
      <c r="Q20" s="221"/>
      <c r="R20" s="220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100">
        <f t="shared" si="0"/>
        <v>46370</v>
      </c>
      <c r="B21" s="140"/>
      <c r="C21" s="137"/>
      <c r="D21" s="138"/>
      <c r="E21" s="139"/>
      <c r="F21" s="137"/>
      <c r="G21" s="138"/>
      <c r="H21" s="139"/>
      <c r="I21" s="137"/>
      <c r="J21" s="138"/>
      <c r="K21" s="139"/>
      <c r="L21" s="137"/>
      <c r="M21" s="138"/>
      <c r="N21" s="139"/>
      <c r="O21" s="137"/>
      <c r="P21" s="138"/>
      <c r="Q21" s="204"/>
      <c r="R21" s="191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thickBot="1" x14ac:dyDescent="0.35">
      <c r="A22" s="101">
        <f t="shared" si="0"/>
        <v>46371</v>
      </c>
      <c r="B22" s="140"/>
      <c r="C22" s="154"/>
      <c r="D22" s="155"/>
      <c r="E22" s="156"/>
      <c r="F22" s="154"/>
      <c r="G22" s="155"/>
      <c r="H22" s="156"/>
      <c r="I22" s="154"/>
      <c r="J22" s="155"/>
      <c r="K22" s="156"/>
      <c r="L22" s="154"/>
      <c r="M22" s="155"/>
      <c r="N22" s="156"/>
      <c r="O22" s="154"/>
      <c r="P22" s="155"/>
      <c r="Q22" s="212"/>
      <c r="R22" s="213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102" t="s">
        <v>17</v>
      </c>
      <c r="B23" s="214">
        <f>SUM(B8:B22)</f>
        <v>0</v>
      </c>
      <c r="C23" s="207"/>
      <c r="D23" s="208"/>
      <c r="E23" s="214">
        <f>SUM(E8:E22)</f>
        <v>0</v>
      </c>
      <c r="F23" s="207"/>
      <c r="G23" s="208"/>
      <c r="H23" s="214">
        <f>SUM(H8:H22)</f>
        <v>0</v>
      </c>
      <c r="I23" s="207"/>
      <c r="J23" s="208"/>
      <c r="K23" s="214">
        <f>SUM(K8:K22)</f>
        <v>0</v>
      </c>
      <c r="L23" s="207"/>
      <c r="M23" s="208"/>
      <c r="N23" s="214">
        <f>SUM(N8:N22)</f>
        <v>0</v>
      </c>
      <c r="O23" s="207"/>
      <c r="P23" s="208"/>
      <c r="Q23" s="103" t="s">
        <v>18</v>
      </c>
      <c r="R23" s="104">
        <f t="shared" ref="R23:R25" si="1">SUM(B23:P23)</f>
        <v>0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25">
      <c r="A24" s="105" t="s">
        <v>20</v>
      </c>
      <c r="B24" s="192">
        <f>SUM(C8:C23)</f>
        <v>0</v>
      </c>
      <c r="C24" s="190"/>
      <c r="D24" s="191"/>
      <c r="E24" s="192">
        <f>SUM(F8:F23)</f>
        <v>0</v>
      </c>
      <c r="F24" s="190"/>
      <c r="G24" s="191"/>
      <c r="H24" s="192">
        <f>SUM(I8:I23)</f>
        <v>0</v>
      </c>
      <c r="I24" s="190"/>
      <c r="J24" s="191"/>
      <c r="K24" s="192">
        <f>SUM(L8:L23)</f>
        <v>0</v>
      </c>
      <c r="L24" s="190"/>
      <c r="M24" s="191"/>
      <c r="N24" s="192">
        <f>SUM(O8:O23)</f>
        <v>0</v>
      </c>
      <c r="O24" s="190"/>
      <c r="P24" s="191"/>
      <c r="Q24" s="106" t="s">
        <v>21</v>
      </c>
      <c r="R24" s="107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thickBot="1" x14ac:dyDescent="0.3">
      <c r="A25" s="108" t="s">
        <v>22</v>
      </c>
      <c r="B25" s="181">
        <f>SUM(D8:D22)</f>
        <v>0</v>
      </c>
      <c r="C25" s="182"/>
      <c r="D25" s="185"/>
      <c r="E25" s="181">
        <f>SUM(G8:G22)</f>
        <v>0</v>
      </c>
      <c r="F25" s="182"/>
      <c r="G25" s="185"/>
      <c r="H25" s="181">
        <f>SUM(J8:J22)</f>
        <v>0</v>
      </c>
      <c r="I25" s="182"/>
      <c r="J25" s="185"/>
      <c r="K25" s="181">
        <f>SUM(M8:M22)</f>
        <v>0</v>
      </c>
      <c r="L25" s="182"/>
      <c r="M25" s="185"/>
      <c r="N25" s="181">
        <f>SUM(P8:P22)</f>
        <v>0</v>
      </c>
      <c r="O25" s="182"/>
      <c r="P25" s="185"/>
      <c r="Q25" s="109" t="s">
        <v>23</v>
      </c>
      <c r="R25" s="110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98">
        <f>A22+1</f>
        <v>46372</v>
      </c>
      <c r="B26" s="151"/>
      <c r="C26" s="159"/>
      <c r="D26" s="160"/>
      <c r="E26" s="161"/>
      <c r="F26" s="159"/>
      <c r="G26" s="160"/>
      <c r="H26" s="161"/>
      <c r="I26" s="159"/>
      <c r="J26" s="160"/>
      <c r="K26" s="161"/>
      <c r="L26" s="159"/>
      <c r="M26" s="160"/>
      <c r="N26" s="161"/>
      <c r="O26" s="159"/>
      <c r="P26" s="160"/>
      <c r="Q26" s="255"/>
      <c r="R26" s="211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100">
        <f t="shared" ref="A27:A41" si="2">A26+1</f>
        <v>46373</v>
      </c>
      <c r="B27" s="151"/>
      <c r="C27" s="137"/>
      <c r="D27" s="138"/>
      <c r="E27" s="139"/>
      <c r="F27" s="137"/>
      <c r="G27" s="138"/>
      <c r="H27" s="139"/>
      <c r="I27" s="137"/>
      <c r="J27" s="138"/>
      <c r="K27" s="139"/>
      <c r="L27" s="137"/>
      <c r="M27" s="138"/>
      <c r="N27" s="139"/>
      <c r="O27" s="137"/>
      <c r="P27" s="138"/>
      <c r="Q27" s="219"/>
      <c r="R27" s="220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100">
        <f t="shared" si="2"/>
        <v>46374</v>
      </c>
      <c r="B28" s="151"/>
      <c r="C28" s="137"/>
      <c r="D28" s="138"/>
      <c r="E28" s="139"/>
      <c r="F28" s="137"/>
      <c r="G28" s="138"/>
      <c r="H28" s="139"/>
      <c r="I28" s="137"/>
      <c r="J28" s="138"/>
      <c r="K28" s="139"/>
      <c r="L28" s="137"/>
      <c r="M28" s="138"/>
      <c r="N28" s="139"/>
      <c r="O28" s="137"/>
      <c r="P28" s="138"/>
      <c r="Q28" s="204"/>
      <c r="R28" s="191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100">
        <f t="shared" si="2"/>
        <v>46375</v>
      </c>
      <c r="B29" s="151"/>
      <c r="C29" s="137"/>
      <c r="D29" s="138"/>
      <c r="E29" s="139"/>
      <c r="F29" s="137"/>
      <c r="G29" s="138"/>
      <c r="H29" s="139"/>
      <c r="I29" s="137"/>
      <c r="J29" s="138"/>
      <c r="K29" s="139"/>
      <c r="L29" s="137"/>
      <c r="M29" s="138"/>
      <c r="N29" s="139"/>
      <c r="O29" s="137"/>
      <c r="P29" s="138"/>
      <c r="Q29" s="204"/>
      <c r="R29" s="191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100">
        <f t="shared" si="2"/>
        <v>46376</v>
      </c>
      <c r="B30" s="151"/>
      <c r="C30" s="137"/>
      <c r="D30" s="138"/>
      <c r="E30" s="139"/>
      <c r="F30" s="137"/>
      <c r="G30" s="138"/>
      <c r="H30" s="139"/>
      <c r="I30" s="137"/>
      <c r="J30" s="138"/>
      <c r="K30" s="139"/>
      <c r="L30" s="137"/>
      <c r="M30" s="138"/>
      <c r="N30" s="139"/>
      <c r="O30" s="137"/>
      <c r="P30" s="138"/>
      <c r="Q30" s="204"/>
      <c r="R30" s="191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100">
        <f t="shared" si="2"/>
        <v>46377</v>
      </c>
      <c r="B31" s="151"/>
      <c r="C31" s="137"/>
      <c r="D31" s="138"/>
      <c r="E31" s="139"/>
      <c r="F31" s="137"/>
      <c r="G31" s="138"/>
      <c r="H31" s="139"/>
      <c r="I31" s="137"/>
      <c r="J31" s="138"/>
      <c r="K31" s="139"/>
      <c r="L31" s="137"/>
      <c r="M31" s="138"/>
      <c r="N31" s="139"/>
      <c r="O31" s="137"/>
      <c r="P31" s="138"/>
      <c r="Q31" s="221"/>
      <c r="R31" s="191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100">
        <f t="shared" si="2"/>
        <v>46378</v>
      </c>
      <c r="B32" s="151"/>
      <c r="C32" s="137"/>
      <c r="D32" s="138"/>
      <c r="E32" s="139"/>
      <c r="F32" s="137"/>
      <c r="G32" s="138"/>
      <c r="H32" s="139"/>
      <c r="I32" s="137"/>
      <c r="J32" s="138"/>
      <c r="K32" s="139"/>
      <c r="L32" s="137"/>
      <c r="M32" s="138"/>
      <c r="N32" s="139"/>
      <c r="O32" s="137"/>
      <c r="P32" s="138"/>
      <c r="Q32" s="204"/>
      <c r="R32" s="191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100">
        <f t="shared" si="2"/>
        <v>46379</v>
      </c>
      <c r="B33" s="151"/>
      <c r="C33" s="137"/>
      <c r="D33" s="138"/>
      <c r="E33" s="139"/>
      <c r="F33" s="137"/>
      <c r="G33" s="138"/>
      <c r="H33" s="139"/>
      <c r="I33" s="137"/>
      <c r="J33" s="138"/>
      <c r="K33" s="139"/>
      <c r="L33" s="137"/>
      <c r="M33" s="138"/>
      <c r="N33" s="139"/>
      <c r="O33" s="137"/>
      <c r="P33" s="138"/>
      <c r="Q33" s="204"/>
      <c r="R33" s="191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100">
        <f t="shared" si="2"/>
        <v>46380</v>
      </c>
      <c r="B34" s="151"/>
      <c r="C34" s="137"/>
      <c r="D34" s="138"/>
      <c r="E34" s="139"/>
      <c r="F34" s="137"/>
      <c r="G34" s="138"/>
      <c r="H34" s="139"/>
      <c r="I34" s="137"/>
      <c r="J34" s="138"/>
      <c r="K34" s="139"/>
      <c r="L34" s="137"/>
      <c r="M34" s="138"/>
      <c r="N34" s="139"/>
      <c r="O34" s="137"/>
      <c r="P34" s="138"/>
      <c r="Q34" s="204" t="s">
        <v>56</v>
      </c>
      <c r="R34" s="191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149">
        <f t="shared" si="2"/>
        <v>46381</v>
      </c>
      <c r="B35" s="162"/>
      <c r="C35" s="144"/>
      <c r="D35" s="145"/>
      <c r="E35" s="146"/>
      <c r="F35" s="144"/>
      <c r="G35" s="145"/>
      <c r="H35" s="146"/>
      <c r="I35" s="144"/>
      <c r="J35" s="145"/>
      <c r="K35" s="146"/>
      <c r="L35" s="144"/>
      <c r="M35" s="145"/>
      <c r="N35" s="146"/>
      <c r="O35" s="144"/>
      <c r="P35" s="145"/>
      <c r="Q35" s="256" t="s">
        <v>19</v>
      </c>
      <c r="R35" s="263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100">
        <f t="shared" si="2"/>
        <v>46382</v>
      </c>
      <c r="B36" s="151"/>
      <c r="C36" s="137"/>
      <c r="D36" s="138"/>
      <c r="E36" s="139"/>
      <c r="F36" s="137"/>
      <c r="G36" s="138"/>
      <c r="H36" s="139"/>
      <c r="I36" s="137"/>
      <c r="J36" s="138"/>
      <c r="K36" s="139"/>
      <c r="L36" s="137"/>
      <c r="M36" s="138"/>
      <c r="N36" s="139"/>
      <c r="O36" s="137"/>
      <c r="P36" s="138"/>
      <c r="Q36" s="204" t="s">
        <v>57</v>
      </c>
      <c r="R36" s="191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100">
        <f t="shared" si="2"/>
        <v>46383</v>
      </c>
      <c r="B37" s="151"/>
      <c r="C37" s="137"/>
      <c r="D37" s="138"/>
      <c r="E37" s="139"/>
      <c r="F37" s="137"/>
      <c r="G37" s="138"/>
      <c r="H37" s="139"/>
      <c r="I37" s="137"/>
      <c r="J37" s="138"/>
      <c r="K37" s="139"/>
      <c r="L37" s="137"/>
      <c r="M37" s="138"/>
      <c r="N37" s="139"/>
      <c r="O37" s="137"/>
      <c r="P37" s="138"/>
      <c r="Q37" s="204"/>
      <c r="R37" s="191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100">
        <f t="shared" si="2"/>
        <v>46384</v>
      </c>
      <c r="B38" s="151"/>
      <c r="C38" s="137"/>
      <c r="D38" s="138"/>
      <c r="E38" s="139"/>
      <c r="F38" s="137"/>
      <c r="G38" s="138"/>
      <c r="H38" s="139"/>
      <c r="I38" s="137"/>
      <c r="J38" s="138"/>
      <c r="K38" s="139"/>
      <c r="L38" s="137"/>
      <c r="M38" s="138"/>
      <c r="N38" s="139"/>
      <c r="O38" s="137"/>
      <c r="P38" s="138"/>
      <c r="Q38" s="204"/>
      <c r="R38" s="191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100">
        <f t="shared" si="2"/>
        <v>46385</v>
      </c>
      <c r="B39" s="151"/>
      <c r="C39" s="137"/>
      <c r="D39" s="138"/>
      <c r="E39" s="139"/>
      <c r="F39" s="137"/>
      <c r="G39" s="138"/>
      <c r="H39" s="139"/>
      <c r="I39" s="137"/>
      <c r="J39" s="138"/>
      <c r="K39" s="139"/>
      <c r="L39" s="137"/>
      <c r="M39" s="138"/>
      <c r="N39" s="139"/>
      <c r="O39" s="137"/>
      <c r="P39" s="138"/>
      <c r="Q39" s="204"/>
      <c r="R39" s="191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x14ac:dyDescent="0.25">
      <c r="A40" s="100">
        <f t="shared" si="2"/>
        <v>46386</v>
      </c>
      <c r="B40" s="151"/>
      <c r="C40" s="137"/>
      <c r="D40" s="138"/>
      <c r="E40" s="139"/>
      <c r="F40" s="137"/>
      <c r="G40" s="138"/>
      <c r="H40" s="139"/>
      <c r="I40" s="137"/>
      <c r="J40" s="138"/>
      <c r="K40" s="139"/>
      <c r="L40" s="137"/>
      <c r="M40" s="138"/>
      <c r="N40" s="139"/>
      <c r="O40" s="137"/>
      <c r="P40" s="138"/>
      <c r="Q40" s="204"/>
      <c r="R40" s="191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15.75" customHeight="1" thickBot="1" x14ac:dyDescent="0.3">
      <c r="A41" s="100">
        <f t="shared" si="2"/>
        <v>46387</v>
      </c>
      <c r="B41" s="151"/>
      <c r="C41" s="137"/>
      <c r="D41" s="138"/>
      <c r="E41" s="139"/>
      <c r="F41" s="137"/>
      <c r="G41" s="138"/>
      <c r="H41" s="139"/>
      <c r="I41" s="137"/>
      <c r="J41" s="138"/>
      <c r="K41" s="139"/>
      <c r="L41" s="137"/>
      <c r="M41" s="138"/>
      <c r="N41" s="139"/>
      <c r="O41" s="137"/>
      <c r="P41" s="138"/>
      <c r="Q41" s="204" t="s">
        <v>84</v>
      </c>
      <c r="R41" s="191"/>
      <c r="S41" s="6"/>
      <c r="T41" s="6"/>
      <c r="U41" s="38"/>
      <c r="V41" s="38"/>
      <c r="W41" s="6"/>
      <c r="X41" s="6"/>
      <c r="Y41" s="6"/>
      <c r="Z41" s="6"/>
      <c r="AA41" s="6"/>
      <c r="AB41" s="6"/>
      <c r="AC41" s="6"/>
    </row>
    <row r="42" spans="1:29" ht="15.75" customHeight="1" x14ac:dyDescent="0.25">
      <c r="A42" s="111" t="s">
        <v>24</v>
      </c>
      <c r="B42" s="206">
        <f>SUM(B26:B41)</f>
        <v>0</v>
      </c>
      <c r="C42" s="207"/>
      <c r="D42" s="208"/>
      <c r="E42" s="214">
        <f>SUM(E26:E41)</f>
        <v>0</v>
      </c>
      <c r="F42" s="207"/>
      <c r="G42" s="215"/>
      <c r="H42" s="206">
        <f>SUM(H26:H41)</f>
        <v>0</v>
      </c>
      <c r="I42" s="207"/>
      <c r="J42" s="208"/>
      <c r="K42" s="214">
        <f>SUM(K26:K41)</f>
        <v>0</v>
      </c>
      <c r="L42" s="207"/>
      <c r="M42" s="215"/>
      <c r="N42" s="214">
        <f>SUM(N26:N41)</f>
        <v>0</v>
      </c>
      <c r="O42" s="207"/>
      <c r="P42" s="215"/>
      <c r="Q42" s="103" t="s">
        <v>18</v>
      </c>
      <c r="R42" s="112">
        <f t="shared" ref="R42:R44" si="3">SUM(B42:P42)</f>
        <v>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x14ac:dyDescent="0.25">
      <c r="A43" s="113" t="s">
        <v>25</v>
      </c>
      <c r="B43" s="189">
        <f>SUM(C26:C42)</f>
        <v>0</v>
      </c>
      <c r="C43" s="190"/>
      <c r="D43" s="191"/>
      <c r="E43" s="192">
        <f>SUM(F26:F42)</f>
        <v>0</v>
      </c>
      <c r="F43" s="190"/>
      <c r="G43" s="216"/>
      <c r="H43" s="189">
        <f>SUM(I26:I42)</f>
        <v>0</v>
      </c>
      <c r="I43" s="190"/>
      <c r="J43" s="191"/>
      <c r="K43" s="192">
        <f>SUM(L26:L42)</f>
        <v>0</v>
      </c>
      <c r="L43" s="190"/>
      <c r="M43" s="216"/>
      <c r="N43" s="192">
        <f>SUM(O26:O42)</f>
        <v>0</v>
      </c>
      <c r="O43" s="190"/>
      <c r="P43" s="216"/>
      <c r="Q43" s="106" t="s">
        <v>26</v>
      </c>
      <c r="R43" s="114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15.75" customHeight="1" thickBot="1" x14ac:dyDescent="0.3">
      <c r="A44" s="115" t="s">
        <v>27</v>
      </c>
      <c r="B44" s="184">
        <f>SUM(D26:D41)</f>
        <v>0</v>
      </c>
      <c r="C44" s="182"/>
      <c r="D44" s="185"/>
      <c r="E44" s="181">
        <f>SUM(G26:G41)</f>
        <v>0</v>
      </c>
      <c r="F44" s="182"/>
      <c r="G44" s="183"/>
      <c r="H44" s="184">
        <f>SUM(J26:J41)</f>
        <v>0</v>
      </c>
      <c r="I44" s="182"/>
      <c r="J44" s="185"/>
      <c r="K44" s="181">
        <f>SUM(M26:M41)</f>
        <v>0</v>
      </c>
      <c r="L44" s="182"/>
      <c r="M44" s="183"/>
      <c r="N44" s="181">
        <f>SUM(P26:P41)</f>
        <v>0</v>
      </c>
      <c r="O44" s="182"/>
      <c r="P44" s="183"/>
      <c r="Q44" s="109" t="s">
        <v>23</v>
      </c>
      <c r="R44" s="116">
        <f t="shared" si="3"/>
        <v>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21" hidden="1" customHeight="1" x14ac:dyDescent="0.25">
      <c r="A45" s="157"/>
      <c r="B45" s="186" t="str">
        <f>IF(ISBLANK(B6),"",B6)</f>
        <v/>
      </c>
      <c r="C45" s="187"/>
      <c r="D45" s="188"/>
      <c r="E45" s="186" t="str">
        <f>IF(ISBLANK(E6),"",E6)</f>
        <v/>
      </c>
      <c r="F45" s="187"/>
      <c r="G45" s="188"/>
      <c r="H45" s="186" t="str">
        <f>IF(ISBLANK(H6),"",H6)</f>
        <v/>
      </c>
      <c r="I45" s="187"/>
      <c r="J45" s="188"/>
      <c r="K45" s="186" t="str">
        <f>IF(ISBLANK(K6),"",K6)</f>
        <v/>
      </c>
      <c r="L45" s="187"/>
      <c r="M45" s="188"/>
      <c r="N45" s="186" t="str">
        <f>IF(ISBLANK(N6),"",N6)</f>
        <v/>
      </c>
      <c r="O45" s="187"/>
      <c r="P45" s="188"/>
      <c r="Q45" s="179"/>
      <c r="R45" s="180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25">
      <c r="A46" s="117" t="s">
        <v>28</v>
      </c>
      <c r="B46" s="206">
        <f>B23+B42</f>
        <v>0</v>
      </c>
      <c r="C46" s="207"/>
      <c r="D46" s="208"/>
      <c r="E46" s="209">
        <f>E23+E42</f>
        <v>0</v>
      </c>
      <c r="F46" s="210"/>
      <c r="G46" s="211"/>
      <c r="H46" s="209">
        <f>H23+H42</f>
        <v>0</v>
      </c>
      <c r="I46" s="210"/>
      <c r="J46" s="211"/>
      <c r="K46" s="209">
        <f>K23+K42</f>
        <v>0</v>
      </c>
      <c r="L46" s="210"/>
      <c r="M46" s="211"/>
      <c r="N46" s="209">
        <f>N23+N42</f>
        <v>0</v>
      </c>
      <c r="O46" s="210"/>
      <c r="P46" s="211"/>
      <c r="Q46" s="103" t="s">
        <v>18</v>
      </c>
      <c r="R46" s="112">
        <f t="shared" ref="R46:R48" si="4">SUM(B46:P46)</f>
        <v>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x14ac:dyDescent="0.25">
      <c r="A47" s="105" t="s">
        <v>29</v>
      </c>
      <c r="B47" s="192">
        <f>B24+B43</f>
        <v>0</v>
      </c>
      <c r="C47" s="190"/>
      <c r="D47" s="191"/>
      <c r="E47" s="189">
        <f>E24+E43</f>
        <v>0</v>
      </c>
      <c r="F47" s="190"/>
      <c r="G47" s="191"/>
      <c r="H47" s="189">
        <f>H24+H43</f>
        <v>0</v>
      </c>
      <c r="I47" s="190"/>
      <c r="J47" s="191"/>
      <c r="K47" s="189">
        <f>K24+K43</f>
        <v>0</v>
      </c>
      <c r="L47" s="190"/>
      <c r="M47" s="191"/>
      <c r="N47" s="189">
        <f>N24+N43</f>
        <v>0</v>
      </c>
      <c r="O47" s="190"/>
      <c r="P47" s="191"/>
      <c r="Q47" s="106" t="s">
        <v>26</v>
      </c>
      <c r="R47" s="114">
        <f t="shared" si="4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15.75" customHeight="1" thickBot="1" x14ac:dyDescent="0.3">
      <c r="A48" s="118" t="s">
        <v>30</v>
      </c>
      <c r="B48" s="181">
        <f>B25+B44</f>
        <v>0</v>
      </c>
      <c r="C48" s="182"/>
      <c r="D48" s="185"/>
      <c r="E48" s="184">
        <f>E25+E44</f>
        <v>0</v>
      </c>
      <c r="F48" s="182"/>
      <c r="G48" s="185"/>
      <c r="H48" s="184">
        <f>H25+H44</f>
        <v>0</v>
      </c>
      <c r="I48" s="182"/>
      <c r="J48" s="185"/>
      <c r="K48" s="184">
        <f>K25+K44</f>
        <v>0</v>
      </c>
      <c r="L48" s="182"/>
      <c r="M48" s="185"/>
      <c r="N48" s="184">
        <f>N25+N44</f>
        <v>0</v>
      </c>
      <c r="O48" s="182"/>
      <c r="P48" s="185"/>
      <c r="Q48" s="109" t="s">
        <v>23</v>
      </c>
      <c r="R48" s="116">
        <f t="shared" si="4"/>
        <v>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7.5" hidden="1" customHeight="1" x14ac:dyDescent="0.25">
      <c r="A49" s="119"/>
      <c r="B49" s="186" t="str">
        <f>IF(ISBLANK(B10),"",B10)</f>
        <v/>
      </c>
      <c r="C49" s="187"/>
      <c r="D49" s="188"/>
      <c r="E49" s="186" t="str">
        <f>IF(ISBLANK(E10),"",E10)</f>
        <v/>
      </c>
      <c r="F49" s="187"/>
      <c r="G49" s="188"/>
      <c r="H49" s="186" t="str">
        <f>IF(ISBLANK(H10),"",H10)</f>
        <v/>
      </c>
      <c r="I49" s="187"/>
      <c r="J49" s="188"/>
      <c r="K49" s="186" t="str">
        <f>IF(ISBLANK(K10),"",K10)</f>
        <v/>
      </c>
      <c r="L49" s="187"/>
      <c r="M49" s="188"/>
      <c r="N49" s="186" t="str">
        <f>IF(ISBLANK(N10),"",N10)</f>
        <v/>
      </c>
      <c r="O49" s="187"/>
      <c r="P49" s="188"/>
      <c r="Q49" s="179"/>
      <c r="R49" s="180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thickBot="1" x14ac:dyDescent="0.3">
      <c r="A50" s="158" t="s">
        <v>31</v>
      </c>
      <c r="B50" s="203">
        <f>SUM(B46:D48)</f>
        <v>0</v>
      </c>
      <c r="C50" s="187"/>
      <c r="D50" s="188"/>
      <c r="E50" s="198">
        <f>SUM(E46:G48)</f>
        <v>0</v>
      </c>
      <c r="F50" s="196"/>
      <c r="G50" s="197"/>
      <c r="H50" s="198">
        <f>SUM(H46:J48)</f>
        <v>0</v>
      </c>
      <c r="I50" s="196"/>
      <c r="J50" s="197"/>
      <c r="K50" s="198">
        <f>SUM(K46:M48)</f>
        <v>0</v>
      </c>
      <c r="L50" s="196"/>
      <c r="M50" s="197"/>
      <c r="N50" s="198">
        <f>SUM(N46:P48)</f>
        <v>0</v>
      </c>
      <c r="O50" s="196"/>
      <c r="P50" s="197"/>
      <c r="Q50" s="198">
        <f t="shared" ref="Q50:Q51" si="5">SUM(B50:P50)</f>
        <v>0</v>
      </c>
      <c r="R50" s="197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thickBot="1" x14ac:dyDescent="0.3">
      <c r="A51" s="120" t="s">
        <v>32</v>
      </c>
      <c r="B51" s="195">
        <f>(B46+B48)/((NETWORKDAYS($P$1,EOMONTH($P$1,0), HO))*8)</f>
        <v>0</v>
      </c>
      <c r="C51" s="196"/>
      <c r="D51" s="197"/>
      <c r="E51" s="195">
        <f>(E46+E48)/((NETWORKDAYS($P$1,EOMONTH($P$1,0), HO))*8)</f>
        <v>0</v>
      </c>
      <c r="F51" s="196"/>
      <c r="G51" s="197"/>
      <c r="H51" s="195">
        <f>(H46+H48)/((NETWORKDAYS($P$1,EOMONTH($P$1,0), HO))*8)</f>
        <v>0</v>
      </c>
      <c r="I51" s="196"/>
      <c r="J51" s="197"/>
      <c r="K51" s="195">
        <f>(K46+K48)/((NETWORKDAYS($P$1,EOMONTH($P$1,0), HO))*8)</f>
        <v>0</v>
      </c>
      <c r="L51" s="196"/>
      <c r="M51" s="197"/>
      <c r="N51" s="195">
        <f>(N46+N48)/((NETWORKDAYS($P$1,EOMONTH($P$1,0), HO))*8)</f>
        <v>0</v>
      </c>
      <c r="O51" s="196"/>
      <c r="P51" s="197"/>
      <c r="Q51" s="195">
        <f t="shared" si="5"/>
        <v>0</v>
      </c>
      <c r="R51" s="197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15.75" customHeight="1" thickBot="1" x14ac:dyDescent="0.3">
      <c r="A52" s="120" t="s">
        <v>33</v>
      </c>
      <c r="B52" s="198">
        <f>R46+R48</f>
        <v>0</v>
      </c>
      <c r="C52" s="196"/>
      <c r="D52" s="197"/>
      <c r="E52" s="195" t="s">
        <v>21</v>
      </c>
      <c r="F52" s="196"/>
      <c r="G52" s="197"/>
      <c r="H52" s="198">
        <f>R47</f>
        <v>0</v>
      </c>
      <c r="I52" s="196"/>
      <c r="J52" s="197"/>
      <c r="K52" s="198">
        <f>R47</f>
        <v>0</v>
      </c>
      <c r="L52" s="196"/>
      <c r="M52" s="197"/>
      <c r="N52" s="195" t="s">
        <v>34</v>
      </c>
      <c r="O52" s="196"/>
      <c r="P52" s="197"/>
      <c r="Q52" s="198">
        <f>B52+H52</f>
        <v>0</v>
      </c>
      <c r="R52" s="197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24.75" customHeight="1" x14ac:dyDescent="0.25">
      <c r="A53" s="199" t="s">
        <v>35</v>
      </c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31.5" customHeight="1" thickBot="1" x14ac:dyDescent="0.3">
      <c r="A54" s="201" t="s">
        <v>36</v>
      </c>
      <c r="B54" s="201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202" t="s">
        <v>37</v>
      </c>
      <c r="P54" s="202"/>
      <c r="Q54" s="152"/>
      <c r="R54" s="152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121"/>
      <c r="B55" s="90"/>
      <c r="C55" s="90"/>
      <c r="D55" s="91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15.75" customHeight="1" x14ac:dyDescent="0.25">
      <c r="A56" s="193" t="s">
        <v>38</v>
      </c>
      <c r="B56" s="194"/>
      <c r="C56" s="125"/>
      <c r="D56" s="126"/>
      <c r="E56" s="38"/>
      <c r="F56" s="127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23.25" customHeight="1" x14ac:dyDescent="0.25">
      <c r="A57" s="193" t="s">
        <v>39</v>
      </c>
      <c r="B57" s="194"/>
      <c r="C57" s="123"/>
      <c r="D57" s="124"/>
      <c r="E57" s="123"/>
      <c r="F57" s="12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122"/>
      <c r="B58" s="38"/>
      <c r="C58" s="38"/>
      <c r="D58" s="52"/>
      <c r="E58" s="38"/>
      <c r="F58" s="127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spans="1:29" ht="15.75" customHeight="1" x14ac:dyDescent="0.25">
      <c r="A257" s="51"/>
      <c r="B257" s="38"/>
      <c r="C257" s="38"/>
      <c r="D257" s="52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spans="1:29" ht="15.75" customHeight="1" x14ac:dyDescent="0.25"/>
    <row r="259" spans="1:29" ht="15.75" customHeight="1" x14ac:dyDescent="0.25"/>
    <row r="260" spans="1:29" ht="15.75" customHeight="1" x14ac:dyDescent="0.25"/>
    <row r="261" spans="1:29" ht="15.75" customHeight="1" x14ac:dyDescent="0.25"/>
    <row r="262" spans="1:29" ht="15.75" customHeight="1" x14ac:dyDescent="0.25"/>
    <row r="263" spans="1:29" ht="15.75" customHeight="1" x14ac:dyDescent="0.25"/>
    <row r="264" spans="1:29" ht="15.75" customHeight="1" x14ac:dyDescent="0.25"/>
    <row r="265" spans="1:29" ht="15.75" customHeight="1" x14ac:dyDescent="0.25"/>
    <row r="266" spans="1:29" ht="15.75" customHeight="1" x14ac:dyDescent="0.25"/>
    <row r="267" spans="1:29" ht="15.75" customHeight="1" x14ac:dyDescent="0.25"/>
    <row r="268" spans="1:29" ht="15.75" customHeight="1" x14ac:dyDescent="0.25"/>
    <row r="269" spans="1:29" ht="15.75" customHeight="1" x14ac:dyDescent="0.25"/>
    <row r="270" spans="1:29" ht="15.75" customHeight="1" x14ac:dyDescent="0.25"/>
    <row r="271" spans="1:29" ht="15.75" customHeight="1" x14ac:dyDescent="0.25"/>
    <row r="272" spans="1:2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34">
    <mergeCell ref="A53:R53"/>
    <mergeCell ref="A54:B54"/>
    <mergeCell ref="O54:P54"/>
    <mergeCell ref="A56:B56"/>
    <mergeCell ref="A57:B57"/>
    <mergeCell ref="Q40:R40"/>
    <mergeCell ref="B52:D52"/>
    <mergeCell ref="E52:G52"/>
    <mergeCell ref="H52:J52"/>
    <mergeCell ref="K52:M52"/>
    <mergeCell ref="N52:P52"/>
    <mergeCell ref="Q52:R52"/>
    <mergeCell ref="B51:D51"/>
    <mergeCell ref="E51:G51"/>
    <mergeCell ref="H51:J51"/>
    <mergeCell ref="K51:M51"/>
    <mergeCell ref="N51:P51"/>
    <mergeCell ref="Q51:R51"/>
    <mergeCell ref="Q49:R49"/>
    <mergeCell ref="B50:D50"/>
    <mergeCell ref="E50:G50"/>
    <mergeCell ref="H50:J50"/>
    <mergeCell ref="K50:M50"/>
    <mergeCell ref="N50:P50"/>
    <mergeCell ref="Q50:R50"/>
    <mergeCell ref="B48:D48"/>
    <mergeCell ref="E48:G48"/>
    <mergeCell ref="H48:J48"/>
    <mergeCell ref="K48:M48"/>
    <mergeCell ref="N48:P48"/>
    <mergeCell ref="B49:D49"/>
    <mergeCell ref="E49:G49"/>
    <mergeCell ref="H49:J49"/>
    <mergeCell ref="K49:M49"/>
    <mergeCell ref="N49:P49"/>
    <mergeCell ref="B46:D46"/>
    <mergeCell ref="E46:G46"/>
    <mergeCell ref="H46:J46"/>
    <mergeCell ref="K46:M46"/>
    <mergeCell ref="N46:P46"/>
    <mergeCell ref="B47:D47"/>
    <mergeCell ref="E47:G47"/>
    <mergeCell ref="H47:J47"/>
    <mergeCell ref="K47:M47"/>
    <mergeCell ref="N47:P47"/>
    <mergeCell ref="B45:D45"/>
    <mergeCell ref="E45:G45"/>
    <mergeCell ref="H45:J45"/>
    <mergeCell ref="K45:M45"/>
    <mergeCell ref="N45:P45"/>
    <mergeCell ref="Q45:R45"/>
    <mergeCell ref="B43:D43"/>
    <mergeCell ref="E43:G43"/>
    <mergeCell ref="H43:J43"/>
    <mergeCell ref="K43:M43"/>
    <mergeCell ref="N43:P43"/>
    <mergeCell ref="B44:D44"/>
    <mergeCell ref="E44:G44"/>
    <mergeCell ref="H44:J44"/>
    <mergeCell ref="K44:M44"/>
    <mergeCell ref="N44:P44"/>
    <mergeCell ref="Q38:R38"/>
    <mergeCell ref="Q39:R39"/>
    <mergeCell ref="Q41:R41"/>
    <mergeCell ref="B42:D42"/>
    <mergeCell ref="E42:G42"/>
    <mergeCell ref="H42:J42"/>
    <mergeCell ref="K42:M42"/>
    <mergeCell ref="N42:P42"/>
    <mergeCell ref="Q32:R32"/>
    <mergeCell ref="Q33:R33"/>
    <mergeCell ref="Q34:R34"/>
    <mergeCell ref="Q35:R35"/>
    <mergeCell ref="Q36:R36"/>
    <mergeCell ref="Q37:R37"/>
    <mergeCell ref="Q26:R26"/>
    <mergeCell ref="Q27:R27"/>
    <mergeCell ref="Q28:R28"/>
    <mergeCell ref="Q29:R29"/>
    <mergeCell ref="Q30:R30"/>
    <mergeCell ref="Q31:R31"/>
    <mergeCell ref="B24:D24"/>
    <mergeCell ref="E24:G24"/>
    <mergeCell ref="H24:J24"/>
    <mergeCell ref="K24:M24"/>
    <mergeCell ref="N24:P24"/>
    <mergeCell ref="B25:D25"/>
    <mergeCell ref="E25:G25"/>
    <mergeCell ref="H25:J25"/>
    <mergeCell ref="K25:M25"/>
    <mergeCell ref="N25:P25"/>
    <mergeCell ref="Q20:R20"/>
    <mergeCell ref="Q21:R21"/>
    <mergeCell ref="Q22:R22"/>
    <mergeCell ref="B23:D23"/>
    <mergeCell ref="E23:G23"/>
    <mergeCell ref="H23:J23"/>
    <mergeCell ref="K23:M23"/>
    <mergeCell ref="N23:P23"/>
    <mergeCell ref="Q14:R14"/>
    <mergeCell ref="Q15:R15"/>
    <mergeCell ref="Q16:R16"/>
    <mergeCell ref="Q17:R17"/>
    <mergeCell ref="Q18:R18"/>
    <mergeCell ref="Q19:R19"/>
    <mergeCell ref="Q8:R8"/>
    <mergeCell ref="Q9:R9"/>
    <mergeCell ref="Q10:R10"/>
    <mergeCell ref="Q11:R11"/>
    <mergeCell ref="Q12:R12"/>
    <mergeCell ref="Q13:R13"/>
    <mergeCell ref="N5:P5"/>
    <mergeCell ref="B6:D6"/>
    <mergeCell ref="E6:G6"/>
    <mergeCell ref="H6:J6"/>
    <mergeCell ref="K6:M6"/>
    <mergeCell ref="N6:P6"/>
    <mergeCell ref="A1:B1"/>
    <mergeCell ref="C1:O1"/>
    <mergeCell ref="P1:R1"/>
    <mergeCell ref="A2:B2"/>
    <mergeCell ref="C2:R2"/>
    <mergeCell ref="A3:B3"/>
    <mergeCell ref="C3:R3"/>
    <mergeCell ref="B4:D4"/>
    <mergeCell ref="E4:G4"/>
    <mergeCell ref="H4:J4"/>
    <mergeCell ref="K4:M4"/>
    <mergeCell ref="N4:P4"/>
    <mergeCell ref="Q4:R7"/>
    <mergeCell ref="B5:D5"/>
    <mergeCell ref="E5:G5"/>
    <mergeCell ref="H5:J5"/>
    <mergeCell ref="K5:M5"/>
  </mergeCells>
  <conditionalFormatting sqref="B23 K42:N42">
    <cfRule type="cellIs" dxfId="597" priority="7" operator="greaterThan">
      <formula>0</formula>
    </cfRule>
  </conditionalFormatting>
  <conditionalFormatting sqref="B24 K43:N43">
    <cfRule type="cellIs" dxfId="596" priority="4" operator="greaterThan">
      <formula>1</formula>
    </cfRule>
  </conditionalFormatting>
  <conditionalFormatting sqref="B24:B25 K44:N44">
    <cfRule type="cellIs" dxfId="595" priority="6" operator="greaterThan">
      <formula>0</formula>
    </cfRule>
  </conditionalFormatting>
  <conditionalFormatting sqref="B42">
    <cfRule type="cellIs" dxfId="594" priority="20" operator="greaterThan">
      <formula>0</formula>
    </cfRule>
  </conditionalFormatting>
  <conditionalFormatting sqref="B43">
    <cfRule type="cellIs" dxfId="593" priority="77" operator="greaterThan">
      <formula>1</formula>
    </cfRule>
    <cfRule type="cellIs" dxfId="592" priority="17" operator="greaterThan">
      <formula>1</formula>
    </cfRule>
  </conditionalFormatting>
  <conditionalFormatting sqref="B43:B44">
    <cfRule type="cellIs" dxfId="591" priority="19" operator="greaterThan">
      <formula>0</formula>
    </cfRule>
    <cfRule type="cellIs" dxfId="590" priority="79" operator="greaterThan">
      <formula>0</formula>
    </cfRule>
  </conditionalFormatting>
  <conditionalFormatting sqref="B46">
    <cfRule type="cellIs" dxfId="589" priority="14" operator="greaterThan">
      <formula>0</formula>
    </cfRule>
  </conditionalFormatting>
  <conditionalFormatting sqref="B47">
    <cfRule type="cellIs" dxfId="588" priority="11" operator="greaterThan">
      <formula>1</formula>
    </cfRule>
  </conditionalFormatting>
  <conditionalFormatting sqref="B47:B48">
    <cfRule type="cellIs" dxfId="587" priority="13" operator="greaterThan">
      <formula>0</formula>
    </cfRule>
  </conditionalFormatting>
  <conditionalFormatting sqref="B25:D25">
    <cfRule type="cellIs" dxfId="586" priority="52" operator="greaterThan">
      <formula>0</formula>
    </cfRule>
  </conditionalFormatting>
  <conditionalFormatting sqref="B44:D44">
    <cfRule type="cellIs" dxfId="585" priority="82" operator="greaterThan">
      <formula>0</formula>
    </cfRule>
  </conditionalFormatting>
  <conditionalFormatting sqref="B48:M48">
    <cfRule type="cellIs" dxfId="584" priority="119" operator="greaterThan">
      <formula>0</formula>
    </cfRule>
  </conditionalFormatting>
  <conditionalFormatting sqref="B50:M50">
    <cfRule type="cellIs" dxfId="583" priority="16" operator="greaterThan">
      <formula>0</formula>
    </cfRule>
  </conditionalFormatting>
  <conditionalFormatting sqref="B4:P5">
    <cfRule type="containsBlanks" dxfId="582" priority="1">
      <formula>LEN(TRIM(B4))=0</formula>
    </cfRule>
  </conditionalFormatting>
  <conditionalFormatting sqref="B48:P48 R48">
    <cfRule type="cellIs" dxfId="581" priority="10" operator="greaterThan">
      <formula>0</formula>
    </cfRule>
  </conditionalFormatting>
  <conditionalFormatting sqref="C2:R3">
    <cfRule type="containsBlanks" dxfId="580" priority="2">
      <formula>LEN(TRIM(C2))=0</formula>
    </cfRule>
  </conditionalFormatting>
  <conditionalFormatting sqref="E24">
    <cfRule type="cellIs" dxfId="579" priority="53" operator="greaterThan">
      <formula>1</formula>
    </cfRule>
  </conditionalFormatting>
  <conditionalFormatting sqref="E24:E25">
    <cfRule type="cellIs" dxfId="578" priority="55" operator="greaterThan">
      <formula>0</formula>
    </cfRule>
  </conditionalFormatting>
  <conditionalFormatting sqref="E42">
    <cfRule type="cellIs" dxfId="577" priority="25" operator="greaterThan">
      <formula>0</formula>
    </cfRule>
  </conditionalFormatting>
  <conditionalFormatting sqref="E43">
    <cfRule type="cellIs" dxfId="576" priority="22" operator="greaterThan">
      <formula>1</formula>
    </cfRule>
    <cfRule type="cellIs" dxfId="575" priority="83" operator="greaterThan">
      <formula>1</formula>
    </cfRule>
    <cfRule type="cellIs" dxfId="574" priority="88" operator="greaterThan">
      <formula>1</formula>
    </cfRule>
  </conditionalFormatting>
  <conditionalFormatting sqref="E43:E44">
    <cfRule type="cellIs" dxfId="573" priority="24" operator="greaterThan">
      <formula>0</formula>
    </cfRule>
    <cfRule type="cellIs" dxfId="572" priority="85" operator="greaterThan">
      <formula>0</formula>
    </cfRule>
    <cfRule type="cellIs" dxfId="571" priority="90" operator="greaterThan">
      <formula>0</formula>
    </cfRule>
  </conditionalFormatting>
  <conditionalFormatting sqref="E46">
    <cfRule type="cellIs" dxfId="570" priority="40" operator="greaterThan">
      <formula>0</formula>
    </cfRule>
  </conditionalFormatting>
  <conditionalFormatting sqref="E47">
    <cfRule type="cellIs" dxfId="569" priority="37" operator="greaterThan">
      <formula>1</formula>
    </cfRule>
  </conditionalFormatting>
  <conditionalFormatting sqref="E47:E48">
    <cfRule type="cellIs" dxfId="568" priority="39" operator="greaterThan">
      <formula>0</formula>
    </cfRule>
  </conditionalFormatting>
  <conditionalFormatting sqref="E25:G25">
    <cfRule type="cellIs" dxfId="567" priority="58" operator="greaterThan">
      <formula>0</formula>
    </cfRule>
  </conditionalFormatting>
  <conditionalFormatting sqref="E44:G44">
    <cfRule type="cellIs" dxfId="566" priority="93" operator="greaterThan">
      <formula>0</formula>
    </cfRule>
  </conditionalFormatting>
  <conditionalFormatting sqref="E23:H23">
    <cfRule type="cellIs" dxfId="565" priority="56" operator="greaterThan">
      <formula>0</formula>
    </cfRule>
  </conditionalFormatting>
  <conditionalFormatting sqref="E24:M24">
    <cfRule type="cellIs" dxfId="564" priority="72" operator="greaterThan">
      <formula>0</formula>
    </cfRule>
  </conditionalFormatting>
  <conditionalFormatting sqref="E43:M43">
    <cfRule type="cellIs" dxfId="563" priority="116" operator="greaterThan">
      <formula>0</formula>
    </cfRule>
  </conditionalFormatting>
  <conditionalFormatting sqref="H24">
    <cfRule type="cellIs" dxfId="562" priority="59" operator="greaterThan">
      <formula>1</formula>
    </cfRule>
  </conditionalFormatting>
  <conditionalFormatting sqref="H24:H25">
    <cfRule type="cellIs" dxfId="561" priority="61" operator="greaterThan">
      <formula>0</formula>
    </cfRule>
  </conditionalFormatting>
  <conditionalFormatting sqref="H42">
    <cfRule type="cellIs" dxfId="560" priority="30" operator="greaterThan">
      <formula>0</formula>
    </cfRule>
  </conditionalFormatting>
  <conditionalFormatting sqref="H43">
    <cfRule type="cellIs" dxfId="559" priority="27" operator="greaterThan">
      <formula>1</formula>
    </cfRule>
    <cfRule type="cellIs" dxfId="558" priority="99" operator="greaterThan">
      <formula>1</formula>
    </cfRule>
    <cfRule type="cellIs" dxfId="557" priority="94" operator="greaterThan">
      <formula>1</formula>
    </cfRule>
  </conditionalFormatting>
  <conditionalFormatting sqref="H43:H44">
    <cfRule type="cellIs" dxfId="556" priority="29" operator="greaterThan">
      <formula>0</formula>
    </cfRule>
    <cfRule type="cellIs" dxfId="555" priority="96" operator="greaterThan">
      <formula>0</formula>
    </cfRule>
    <cfRule type="cellIs" dxfId="554" priority="101" operator="greaterThan">
      <formula>0</formula>
    </cfRule>
  </conditionalFormatting>
  <conditionalFormatting sqref="H46">
    <cfRule type="cellIs" dxfId="553" priority="45" operator="greaterThan">
      <formula>0</formula>
    </cfRule>
  </conditionalFormatting>
  <conditionalFormatting sqref="H47">
    <cfRule type="cellIs" dxfId="552" priority="42" operator="greaterThan">
      <formula>1</formula>
    </cfRule>
  </conditionalFormatting>
  <conditionalFormatting sqref="H47:H48">
    <cfRule type="cellIs" dxfId="551" priority="44" operator="greaterThan">
      <formula>0</formula>
    </cfRule>
  </conditionalFormatting>
  <conditionalFormatting sqref="H25:J25">
    <cfRule type="cellIs" dxfId="550" priority="64" operator="greaterThan">
      <formula>0</formula>
    </cfRule>
  </conditionalFormatting>
  <conditionalFormatting sqref="H44:J44">
    <cfRule type="cellIs" dxfId="549" priority="104" operator="greaterThan">
      <formula>0</formula>
    </cfRule>
  </conditionalFormatting>
  <conditionalFormatting sqref="K24">
    <cfRule type="cellIs" dxfId="548" priority="66" operator="greaterThan">
      <formula>1</formula>
    </cfRule>
  </conditionalFormatting>
  <conditionalFormatting sqref="K24:K25">
    <cfRule type="cellIs" dxfId="547" priority="68" operator="greaterThan">
      <formula>0</formula>
    </cfRule>
  </conditionalFormatting>
  <conditionalFormatting sqref="K43">
    <cfRule type="cellIs" dxfId="546" priority="105" operator="greaterThan">
      <formula>1</formula>
    </cfRule>
    <cfRule type="cellIs" dxfId="545" priority="110" operator="greaterThan">
      <formula>1</formula>
    </cfRule>
  </conditionalFormatting>
  <conditionalFormatting sqref="K43:K44">
    <cfRule type="cellIs" dxfId="544" priority="34" operator="greaterThan">
      <formula>0</formula>
    </cfRule>
    <cfRule type="cellIs" dxfId="543" priority="107" operator="greaterThan">
      <formula>0</formula>
    </cfRule>
    <cfRule type="cellIs" dxfId="542" priority="112" operator="greaterThan">
      <formula>0</formula>
    </cfRule>
  </conditionalFormatting>
  <conditionalFormatting sqref="K46">
    <cfRule type="cellIs" dxfId="541" priority="50" operator="greaterThan">
      <formula>0</formula>
    </cfRule>
  </conditionalFormatting>
  <conditionalFormatting sqref="K47">
    <cfRule type="cellIs" dxfId="540" priority="47" operator="greaterThan">
      <formula>1</formula>
    </cfRule>
  </conditionalFormatting>
  <conditionalFormatting sqref="K47:K48">
    <cfRule type="cellIs" dxfId="539" priority="49" operator="greaterThan">
      <formula>0</formula>
    </cfRule>
  </conditionalFormatting>
  <conditionalFormatting sqref="K23:M23">
    <cfRule type="cellIs" dxfId="538" priority="69" operator="greaterThan">
      <formula>0</formula>
    </cfRule>
  </conditionalFormatting>
  <conditionalFormatting sqref="K25:M25">
    <cfRule type="cellIs" dxfId="537" priority="71" operator="greaterThan">
      <formula>0</formula>
    </cfRule>
  </conditionalFormatting>
  <conditionalFormatting sqref="K44:M44">
    <cfRule type="cellIs" dxfId="536" priority="115" operator="greaterThan">
      <formula>0</formula>
    </cfRule>
  </conditionalFormatting>
  <conditionalFormatting sqref="K47:M47">
    <cfRule type="cellIs" dxfId="535" priority="120" operator="greaterThan">
      <formula>0</formula>
    </cfRule>
  </conditionalFormatting>
  <conditionalFormatting sqref="K47:P47">
    <cfRule type="cellIs" dxfId="534" priority="9" operator="greaterThan">
      <formula>0</formula>
    </cfRule>
  </conditionalFormatting>
  <pageMargins left="0.25" right="0.25" top="0.75" bottom="0.75" header="0.3" footer="0.3"/>
  <pageSetup scale="7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C1000"/>
  <sheetViews>
    <sheetView topLeftCell="A16" workbookViewId="0">
      <selection activeCell="B6" sqref="B6:D6"/>
    </sheetView>
  </sheetViews>
  <sheetFormatPr defaultColWidth="14.44140625" defaultRowHeight="15" customHeight="1" x14ac:dyDescent="0.25"/>
  <cols>
    <col min="1" max="1" width="20.44140625" customWidth="1"/>
    <col min="2" max="16" width="5.33203125" customWidth="1"/>
    <col min="17" max="17" width="14.6640625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17.399999999999999" x14ac:dyDescent="0.3">
      <c r="A1" s="311" t="s">
        <v>59</v>
      </c>
      <c r="B1" s="272"/>
      <c r="C1" s="312" t="s">
        <v>1</v>
      </c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313">
        <v>44317</v>
      </c>
      <c r="Q1" s="272"/>
      <c r="R1" s="272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314" t="s">
        <v>2</v>
      </c>
      <c r="B2" s="303"/>
      <c r="C2" s="315" t="s">
        <v>60</v>
      </c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316" t="s">
        <v>61</v>
      </c>
      <c r="O2" s="279"/>
      <c r="P2" s="279"/>
      <c r="Q2" s="279"/>
      <c r="R2" s="300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7.399999999999999" x14ac:dyDescent="0.3">
      <c r="A3" s="325" t="s">
        <v>3</v>
      </c>
      <c r="B3" s="268"/>
      <c r="C3" s="317" t="s">
        <v>62</v>
      </c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70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6.5" customHeight="1" x14ac:dyDescent="0.25">
      <c r="A4" s="2" t="s">
        <v>4</v>
      </c>
      <c r="B4" s="320" t="s">
        <v>63</v>
      </c>
      <c r="C4" s="297"/>
      <c r="D4" s="298"/>
      <c r="E4" s="320" t="e">
        <f>#REF!</f>
        <v>#REF!</v>
      </c>
      <c r="F4" s="297"/>
      <c r="G4" s="298"/>
      <c r="H4" s="320" t="e">
        <f>#REF!</f>
        <v>#REF!</v>
      </c>
      <c r="I4" s="297"/>
      <c r="J4" s="298"/>
      <c r="K4" s="320" t="e">
        <f>#REF!</f>
        <v>#REF!</v>
      </c>
      <c r="L4" s="297"/>
      <c r="M4" s="298"/>
      <c r="N4" s="320" t="e">
        <f>#REF!</f>
        <v>#REF!</v>
      </c>
      <c r="O4" s="297"/>
      <c r="P4" s="298"/>
      <c r="Q4" s="321" t="s">
        <v>5</v>
      </c>
      <c r="R4" s="322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4" t="s">
        <v>6</v>
      </c>
      <c r="B5" s="318">
        <v>119886</v>
      </c>
      <c r="C5" s="319"/>
      <c r="D5" s="308"/>
      <c r="E5" s="318" t="e">
        <f>#REF!</f>
        <v>#REF!</v>
      </c>
      <c r="F5" s="319"/>
      <c r="G5" s="308"/>
      <c r="H5" s="318" t="e">
        <f>#REF!</f>
        <v>#REF!</v>
      </c>
      <c r="I5" s="319"/>
      <c r="J5" s="308"/>
      <c r="K5" s="318" t="e">
        <f>#REF!</f>
        <v>#REF!</v>
      </c>
      <c r="L5" s="319"/>
      <c r="M5" s="308"/>
      <c r="N5" s="318" t="e">
        <f>#REF!</f>
        <v>#REF!</v>
      </c>
      <c r="O5" s="319"/>
      <c r="P5" s="308"/>
      <c r="Q5" s="323"/>
      <c r="R5" s="265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x14ac:dyDescent="0.25">
      <c r="A6" s="5" t="s">
        <v>7</v>
      </c>
      <c r="B6" s="318" t="s">
        <v>64</v>
      </c>
      <c r="C6" s="319"/>
      <c r="D6" s="308"/>
      <c r="E6" s="318" t="e">
        <f>#REF!</f>
        <v>#REF!</v>
      </c>
      <c r="F6" s="319"/>
      <c r="G6" s="308"/>
      <c r="H6" s="318" t="e">
        <f>#REF!</f>
        <v>#REF!</v>
      </c>
      <c r="I6" s="319"/>
      <c r="J6" s="308"/>
      <c r="K6" s="318" t="e">
        <f>#REF!</f>
        <v>#REF!</v>
      </c>
      <c r="L6" s="319"/>
      <c r="M6" s="308"/>
      <c r="N6" s="318" t="e">
        <f>#REF!</f>
        <v>#REF!</v>
      </c>
      <c r="O6" s="319"/>
      <c r="P6" s="308"/>
      <c r="Q6" s="323"/>
      <c r="R6" s="265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x14ac:dyDescent="0.25">
      <c r="A7" s="164"/>
      <c r="B7" s="7" t="s">
        <v>8</v>
      </c>
      <c r="C7" s="8" t="s">
        <v>9</v>
      </c>
      <c r="D7" s="9" t="s">
        <v>10</v>
      </c>
      <c r="E7" s="7" t="s">
        <v>8</v>
      </c>
      <c r="F7" s="8" t="s">
        <v>9</v>
      </c>
      <c r="G7" s="9" t="s">
        <v>10</v>
      </c>
      <c r="H7" s="7" t="s">
        <v>8</v>
      </c>
      <c r="I7" s="8" t="s">
        <v>9</v>
      </c>
      <c r="J7" s="9" t="s">
        <v>10</v>
      </c>
      <c r="K7" s="7" t="s">
        <v>8</v>
      </c>
      <c r="L7" s="8" t="s">
        <v>9</v>
      </c>
      <c r="M7" s="9" t="s">
        <v>10</v>
      </c>
      <c r="N7" s="7" t="s">
        <v>8</v>
      </c>
      <c r="O7" s="8" t="s">
        <v>9</v>
      </c>
      <c r="P7" s="9" t="s">
        <v>10</v>
      </c>
      <c r="Q7" s="324"/>
      <c r="R7" s="273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2" x14ac:dyDescent="0.25">
      <c r="A8" s="10">
        <v>44317</v>
      </c>
      <c r="B8" s="165"/>
      <c r="C8" s="166"/>
      <c r="D8" s="167"/>
      <c r="E8" s="168"/>
      <c r="F8" s="166"/>
      <c r="G8" s="167"/>
      <c r="H8" s="168"/>
      <c r="I8" s="166"/>
      <c r="J8" s="167"/>
      <c r="K8" s="168"/>
      <c r="L8" s="166"/>
      <c r="M8" s="167"/>
      <c r="N8" s="168"/>
      <c r="O8" s="166"/>
      <c r="P8" s="167"/>
      <c r="Q8" s="309"/>
      <c r="R8" s="29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2" x14ac:dyDescent="0.25">
      <c r="A9" s="15">
        <f t="shared" ref="A9:A22" si="0">A8+1</f>
        <v>44318</v>
      </c>
      <c r="B9" s="16"/>
      <c r="C9" s="17"/>
      <c r="D9" s="18"/>
      <c r="E9" s="19"/>
      <c r="F9" s="17"/>
      <c r="G9" s="18"/>
      <c r="H9" s="19"/>
      <c r="I9" s="17"/>
      <c r="J9" s="18"/>
      <c r="K9" s="19"/>
      <c r="L9" s="17"/>
      <c r="M9" s="18"/>
      <c r="N9" s="19"/>
      <c r="O9" s="17"/>
      <c r="P9" s="18"/>
      <c r="Q9" s="310"/>
      <c r="R9" s="276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3.2" x14ac:dyDescent="0.25">
      <c r="A10" s="21">
        <f t="shared" si="0"/>
        <v>44319</v>
      </c>
      <c r="B10" s="165">
        <v>8</v>
      </c>
      <c r="C10" s="22"/>
      <c r="D10" s="23"/>
      <c r="E10" s="24"/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  <c r="Q10" s="295"/>
      <c r="R10" s="27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2" x14ac:dyDescent="0.25">
      <c r="A11" s="21">
        <f t="shared" si="0"/>
        <v>44320</v>
      </c>
      <c r="B11" s="165">
        <v>8</v>
      </c>
      <c r="C11" s="22"/>
      <c r="D11" s="23"/>
      <c r="E11" s="24"/>
      <c r="F11" s="22"/>
      <c r="G11" s="23"/>
      <c r="H11" s="24"/>
      <c r="I11" s="22"/>
      <c r="J11" s="23"/>
      <c r="K11" s="24"/>
      <c r="L11" s="22"/>
      <c r="M11" s="23"/>
      <c r="N11" s="24"/>
      <c r="O11" s="22"/>
      <c r="P11" s="23"/>
      <c r="Q11" s="295"/>
      <c r="R11" s="27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2" x14ac:dyDescent="0.25">
      <c r="A12" s="21">
        <f t="shared" si="0"/>
        <v>44321</v>
      </c>
      <c r="B12" s="165">
        <v>8</v>
      </c>
      <c r="C12" s="22"/>
      <c r="D12" s="23"/>
      <c r="E12" s="24"/>
      <c r="F12" s="22"/>
      <c r="G12" s="23"/>
      <c r="H12" s="24"/>
      <c r="I12" s="22"/>
      <c r="J12" s="23"/>
      <c r="K12" s="24"/>
      <c r="L12" s="22"/>
      <c r="M12" s="23"/>
      <c r="N12" s="24"/>
      <c r="O12" s="22"/>
      <c r="P12" s="23"/>
      <c r="Q12" s="295"/>
      <c r="R12" s="27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2" x14ac:dyDescent="0.25">
      <c r="A13" s="21">
        <f t="shared" si="0"/>
        <v>44322</v>
      </c>
      <c r="B13" s="165"/>
      <c r="C13" s="22"/>
      <c r="D13" s="23"/>
      <c r="E13" s="24"/>
      <c r="F13" s="22"/>
      <c r="G13" s="23"/>
      <c r="H13" s="24"/>
      <c r="I13" s="22"/>
      <c r="J13" s="23"/>
      <c r="K13" s="24"/>
      <c r="L13" s="22"/>
      <c r="M13" s="23"/>
      <c r="N13" s="24"/>
      <c r="O13" s="22"/>
      <c r="P13" s="23"/>
      <c r="Q13" s="295"/>
      <c r="R13" s="27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2" x14ac:dyDescent="0.25">
      <c r="A14" s="21">
        <f t="shared" si="0"/>
        <v>44323</v>
      </c>
      <c r="B14" s="165"/>
      <c r="C14" s="22"/>
      <c r="D14" s="23"/>
      <c r="E14" s="24"/>
      <c r="F14" s="22"/>
      <c r="G14" s="23"/>
      <c r="H14" s="24"/>
      <c r="I14" s="22"/>
      <c r="J14" s="23"/>
      <c r="K14" s="24"/>
      <c r="L14" s="22"/>
      <c r="M14" s="23"/>
      <c r="N14" s="24"/>
      <c r="O14" s="22"/>
      <c r="P14" s="23"/>
      <c r="Q14" s="295"/>
      <c r="R14" s="27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2" x14ac:dyDescent="0.25">
      <c r="A15" s="21">
        <f t="shared" si="0"/>
        <v>44324</v>
      </c>
      <c r="B15" s="165"/>
      <c r="C15" s="22"/>
      <c r="D15" s="23"/>
      <c r="E15" s="24"/>
      <c r="F15" s="22"/>
      <c r="G15" s="23"/>
      <c r="H15" s="24"/>
      <c r="I15" s="22"/>
      <c r="J15" s="23"/>
      <c r="K15" s="24"/>
      <c r="L15" s="22"/>
      <c r="M15" s="23"/>
      <c r="N15" s="24"/>
      <c r="O15" s="22"/>
      <c r="P15" s="23"/>
      <c r="Q15" s="294"/>
      <c r="R15" s="27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2" x14ac:dyDescent="0.25">
      <c r="A16" s="21">
        <f t="shared" si="0"/>
        <v>44325</v>
      </c>
      <c r="B16" s="165"/>
      <c r="C16" s="22"/>
      <c r="D16" s="23"/>
      <c r="E16" s="24"/>
      <c r="F16" s="22"/>
      <c r="G16" s="23"/>
      <c r="H16" s="24"/>
      <c r="I16" s="22"/>
      <c r="J16" s="23"/>
      <c r="K16" s="24"/>
      <c r="L16" s="22"/>
      <c r="M16" s="23"/>
      <c r="N16" s="24"/>
      <c r="O16" s="22"/>
      <c r="P16" s="23"/>
      <c r="Q16" s="295"/>
      <c r="R16" s="27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3.8" x14ac:dyDescent="0.3">
      <c r="A17" s="21">
        <f t="shared" si="0"/>
        <v>44326</v>
      </c>
      <c r="B17" s="165">
        <v>8</v>
      </c>
      <c r="C17" s="22"/>
      <c r="D17" s="23"/>
      <c r="E17" s="24"/>
      <c r="F17" s="22"/>
      <c r="G17" s="23"/>
      <c r="H17" s="24"/>
      <c r="I17" s="22"/>
      <c r="J17" s="23"/>
      <c r="K17" s="24"/>
      <c r="L17" s="22"/>
      <c r="M17" s="23"/>
      <c r="N17" s="24"/>
      <c r="O17" s="22"/>
      <c r="P17" s="23"/>
      <c r="Q17" s="295"/>
      <c r="R17" s="276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3.8" x14ac:dyDescent="0.3">
      <c r="A18" s="21">
        <f t="shared" si="0"/>
        <v>44327</v>
      </c>
      <c r="B18" s="165">
        <v>8</v>
      </c>
      <c r="C18" s="22"/>
      <c r="D18" s="23"/>
      <c r="E18" s="24"/>
      <c r="F18" s="22"/>
      <c r="G18" s="23"/>
      <c r="H18" s="24"/>
      <c r="I18" s="22"/>
      <c r="J18" s="23"/>
      <c r="K18" s="24"/>
      <c r="L18" s="22"/>
      <c r="M18" s="23"/>
      <c r="N18" s="24"/>
      <c r="O18" s="22"/>
      <c r="P18" s="23"/>
      <c r="Q18" s="294"/>
      <c r="R18" s="276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3.8" x14ac:dyDescent="0.3">
      <c r="A19" s="21">
        <f t="shared" si="0"/>
        <v>44328</v>
      </c>
      <c r="B19" s="165">
        <v>8</v>
      </c>
      <c r="C19" s="22"/>
      <c r="D19" s="23"/>
      <c r="E19" s="24"/>
      <c r="F19" s="22"/>
      <c r="G19" s="23"/>
      <c r="H19" s="24"/>
      <c r="I19" s="22"/>
      <c r="J19" s="23"/>
      <c r="K19" s="24"/>
      <c r="L19" s="22"/>
      <c r="M19" s="23"/>
      <c r="N19" s="24"/>
      <c r="O19" s="22"/>
      <c r="P19" s="23"/>
      <c r="Q19" s="295"/>
      <c r="R19" s="276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3.8" x14ac:dyDescent="0.3">
      <c r="A20" s="21">
        <f t="shared" si="0"/>
        <v>44329</v>
      </c>
      <c r="B20" s="165">
        <v>8</v>
      </c>
      <c r="C20" s="22"/>
      <c r="D20" s="23"/>
      <c r="E20" s="24"/>
      <c r="F20" s="22"/>
      <c r="G20" s="23"/>
      <c r="H20" s="24"/>
      <c r="I20" s="22"/>
      <c r="J20" s="23"/>
      <c r="K20" s="24"/>
      <c r="L20" s="22"/>
      <c r="M20" s="23"/>
      <c r="N20" s="24"/>
      <c r="O20" s="22"/>
      <c r="P20" s="23"/>
      <c r="Q20" s="295"/>
      <c r="R20" s="276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21">
        <f t="shared" si="0"/>
        <v>44330</v>
      </c>
      <c r="B21" s="165">
        <v>8</v>
      </c>
      <c r="C21" s="22"/>
      <c r="D21" s="23"/>
      <c r="E21" s="24"/>
      <c r="F21" s="22"/>
      <c r="G21" s="23"/>
      <c r="H21" s="24"/>
      <c r="I21" s="22"/>
      <c r="J21" s="23"/>
      <c r="K21" s="24"/>
      <c r="L21" s="22"/>
      <c r="M21" s="23"/>
      <c r="N21" s="24"/>
      <c r="O21" s="22"/>
      <c r="P21" s="23"/>
      <c r="Q21" s="295"/>
      <c r="R21" s="276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x14ac:dyDescent="0.3">
      <c r="A22" s="26">
        <f t="shared" si="0"/>
        <v>44331</v>
      </c>
      <c r="B22" s="165"/>
      <c r="C22" s="169"/>
      <c r="D22" s="170"/>
      <c r="E22" s="171"/>
      <c r="F22" s="169"/>
      <c r="G22" s="170"/>
      <c r="H22" s="171"/>
      <c r="I22" s="169"/>
      <c r="J22" s="170"/>
      <c r="K22" s="171"/>
      <c r="L22" s="169"/>
      <c r="M22" s="170"/>
      <c r="N22" s="171"/>
      <c r="O22" s="169"/>
      <c r="P22" s="170"/>
      <c r="Q22" s="307"/>
      <c r="R22" s="308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28" t="s">
        <v>17</v>
      </c>
      <c r="B23" s="302">
        <f>SUM(B8:B22)</f>
        <v>64</v>
      </c>
      <c r="C23" s="297"/>
      <c r="D23" s="298"/>
      <c r="E23" s="302">
        <f>SUM(E8:E22)</f>
        <v>0</v>
      </c>
      <c r="F23" s="297"/>
      <c r="G23" s="298"/>
      <c r="H23" s="302">
        <f>SUM(H8:H22)</f>
        <v>0</v>
      </c>
      <c r="I23" s="297"/>
      <c r="J23" s="298"/>
      <c r="K23" s="302">
        <f>SUM(K8:K22)</f>
        <v>0</v>
      </c>
      <c r="L23" s="297"/>
      <c r="M23" s="298"/>
      <c r="N23" s="302">
        <f>SUM(N8:N22)</f>
        <v>0</v>
      </c>
      <c r="O23" s="297"/>
      <c r="P23" s="298"/>
      <c r="Q23" s="29" t="s">
        <v>18</v>
      </c>
      <c r="R23" s="30">
        <f t="shared" ref="R23:R25" si="1">SUM(B23:P23)</f>
        <v>64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3">
      <c r="A24" s="32" t="s">
        <v>20</v>
      </c>
      <c r="B24" s="277">
        <f>SUM(C8:C23)</f>
        <v>0</v>
      </c>
      <c r="C24" s="275"/>
      <c r="D24" s="276"/>
      <c r="E24" s="277">
        <f>SUM(F8:F23)</f>
        <v>0</v>
      </c>
      <c r="F24" s="275"/>
      <c r="G24" s="276"/>
      <c r="H24" s="277">
        <f>SUM(I8:I23)</f>
        <v>0</v>
      </c>
      <c r="I24" s="275"/>
      <c r="J24" s="276"/>
      <c r="K24" s="277">
        <f>SUM(L8:L23)</f>
        <v>0</v>
      </c>
      <c r="L24" s="275"/>
      <c r="M24" s="276"/>
      <c r="N24" s="277">
        <f>SUM(O8:O23)</f>
        <v>0</v>
      </c>
      <c r="O24" s="275"/>
      <c r="P24" s="276"/>
      <c r="Q24" s="33" t="s">
        <v>21</v>
      </c>
      <c r="R24" s="34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x14ac:dyDescent="0.3">
      <c r="A25" s="35" t="s">
        <v>22</v>
      </c>
      <c r="B25" s="266">
        <f>SUM(D8:D22)</f>
        <v>0</v>
      </c>
      <c r="C25" s="267"/>
      <c r="D25" s="270"/>
      <c r="E25" s="266">
        <f>SUM(G8:G22)</f>
        <v>0</v>
      </c>
      <c r="F25" s="267"/>
      <c r="G25" s="270"/>
      <c r="H25" s="266">
        <f>SUM(J8:J22)</f>
        <v>0</v>
      </c>
      <c r="I25" s="267"/>
      <c r="J25" s="270"/>
      <c r="K25" s="266">
        <f>SUM(M8:M22)</f>
        <v>0</v>
      </c>
      <c r="L25" s="267"/>
      <c r="M25" s="270"/>
      <c r="N25" s="266">
        <f>SUM(P8:P22)</f>
        <v>0</v>
      </c>
      <c r="O25" s="267"/>
      <c r="P25" s="270"/>
      <c r="Q25" s="36" t="s">
        <v>23</v>
      </c>
      <c r="R25" s="37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10">
        <f>A22+1</f>
        <v>44332</v>
      </c>
      <c r="B26" s="172"/>
      <c r="C26" s="173"/>
      <c r="D26" s="174"/>
      <c r="E26" s="175"/>
      <c r="F26" s="173"/>
      <c r="G26" s="174"/>
      <c r="H26" s="175"/>
      <c r="I26" s="173"/>
      <c r="J26" s="174"/>
      <c r="K26" s="175"/>
      <c r="L26" s="173"/>
      <c r="M26" s="174"/>
      <c r="N26" s="175"/>
      <c r="O26" s="173"/>
      <c r="P26" s="174"/>
      <c r="Q26" s="305"/>
      <c r="R26" s="300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21">
        <f t="shared" ref="A27:A41" si="2">A26+1</f>
        <v>44333</v>
      </c>
      <c r="B27" s="172">
        <v>8</v>
      </c>
      <c r="C27" s="22"/>
      <c r="D27" s="23"/>
      <c r="E27" s="24"/>
      <c r="F27" s="22"/>
      <c r="G27" s="23"/>
      <c r="H27" s="24"/>
      <c r="I27" s="22"/>
      <c r="J27" s="23"/>
      <c r="K27" s="24"/>
      <c r="L27" s="22"/>
      <c r="M27" s="23"/>
      <c r="N27" s="24"/>
      <c r="O27" s="22"/>
      <c r="P27" s="23"/>
      <c r="Q27" s="294"/>
      <c r="R27" s="27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21">
        <f t="shared" si="2"/>
        <v>44334</v>
      </c>
      <c r="B28" s="172">
        <v>8</v>
      </c>
      <c r="C28" s="22"/>
      <c r="D28" s="23"/>
      <c r="E28" s="24"/>
      <c r="F28" s="22"/>
      <c r="G28" s="23"/>
      <c r="H28" s="24"/>
      <c r="I28" s="22"/>
      <c r="J28" s="23"/>
      <c r="K28" s="24"/>
      <c r="L28" s="22"/>
      <c r="M28" s="23"/>
      <c r="N28" s="24"/>
      <c r="O28" s="22"/>
      <c r="P28" s="23"/>
      <c r="Q28" s="295"/>
      <c r="R28" s="27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21">
        <f t="shared" si="2"/>
        <v>44335</v>
      </c>
      <c r="B29" s="172">
        <v>8</v>
      </c>
      <c r="C29" s="22"/>
      <c r="D29" s="23"/>
      <c r="E29" s="24"/>
      <c r="F29" s="22"/>
      <c r="G29" s="23"/>
      <c r="H29" s="24"/>
      <c r="I29" s="22"/>
      <c r="J29" s="23"/>
      <c r="K29" s="24"/>
      <c r="L29" s="22"/>
      <c r="M29" s="23"/>
      <c r="N29" s="24"/>
      <c r="O29" s="22"/>
      <c r="P29" s="23"/>
      <c r="Q29" s="295"/>
      <c r="R29" s="27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21">
        <f t="shared" si="2"/>
        <v>44336</v>
      </c>
      <c r="B30" s="172">
        <v>8</v>
      </c>
      <c r="C30" s="22"/>
      <c r="D30" s="23"/>
      <c r="E30" s="24"/>
      <c r="F30" s="22"/>
      <c r="G30" s="23"/>
      <c r="H30" s="24"/>
      <c r="I30" s="22"/>
      <c r="J30" s="23"/>
      <c r="K30" s="24"/>
      <c r="L30" s="22"/>
      <c r="M30" s="23"/>
      <c r="N30" s="24"/>
      <c r="O30" s="22"/>
      <c r="P30" s="23"/>
      <c r="Q30" s="295"/>
      <c r="R30" s="27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21">
        <f t="shared" si="2"/>
        <v>44337</v>
      </c>
      <c r="B31" s="172">
        <v>8</v>
      </c>
      <c r="C31" s="22"/>
      <c r="D31" s="23"/>
      <c r="E31" s="24"/>
      <c r="F31" s="22"/>
      <c r="G31" s="23"/>
      <c r="H31" s="24"/>
      <c r="I31" s="22"/>
      <c r="J31" s="23"/>
      <c r="K31" s="24"/>
      <c r="L31" s="22"/>
      <c r="M31" s="23"/>
      <c r="N31" s="24"/>
      <c r="O31" s="22"/>
      <c r="P31" s="23"/>
      <c r="Q31" s="306"/>
      <c r="R31" s="27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21">
        <f t="shared" si="2"/>
        <v>44338</v>
      </c>
      <c r="B32" s="172"/>
      <c r="C32" s="22"/>
      <c r="D32" s="23"/>
      <c r="E32" s="24"/>
      <c r="F32" s="22"/>
      <c r="G32" s="23"/>
      <c r="H32" s="24"/>
      <c r="I32" s="22"/>
      <c r="J32" s="23"/>
      <c r="K32" s="24"/>
      <c r="L32" s="22"/>
      <c r="M32" s="23"/>
      <c r="N32" s="24"/>
      <c r="O32" s="22"/>
      <c r="P32" s="23"/>
      <c r="Q32" s="295"/>
      <c r="R32" s="27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21">
        <f t="shared" si="2"/>
        <v>44339</v>
      </c>
      <c r="B33" s="172"/>
      <c r="C33" s="22"/>
      <c r="D33" s="23"/>
      <c r="E33" s="24"/>
      <c r="F33" s="22"/>
      <c r="G33" s="23"/>
      <c r="H33" s="24"/>
      <c r="I33" s="22"/>
      <c r="J33" s="23"/>
      <c r="K33" s="24"/>
      <c r="L33" s="22"/>
      <c r="M33" s="23"/>
      <c r="N33" s="24"/>
      <c r="O33" s="22"/>
      <c r="P33" s="23"/>
      <c r="Q33" s="294"/>
      <c r="R33" s="27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21">
        <f t="shared" si="2"/>
        <v>44340</v>
      </c>
      <c r="B34" s="172">
        <v>8</v>
      </c>
      <c r="C34" s="22"/>
      <c r="D34" s="23"/>
      <c r="E34" s="24"/>
      <c r="F34" s="22"/>
      <c r="G34" s="23"/>
      <c r="H34" s="24"/>
      <c r="I34" s="22"/>
      <c r="J34" s="23"/>
      <c r="K34" s="24"/>
      <c r="L34" s="22"/>
      <c r="M34" s="23"/>
      <c r="N34" s="24"/>
      <c r="O34" s="22"/>
      <c r="P34" s="23"/>
      <c r="Q34" s="295"/>
      <c r="R34" s="27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21">
        <f t="shared" si="2"/>
        <v>44341</v>
      </c>
      <c r="B35" s="75">
        <v>8</v>
      </c>
      <c r="C35" s="76"/>
      <c r="D35" s="77"/>
      <c r="E35" s="78"/>
      <c r="F35" s="76"/>
      <c r="G35" s="77"/>
      <c r="H35" s="78"/>
      <c r="I35" s="76"/>
      <c r="J35" s="77"/>
      <c r="K35" s="78"/>
      <c r="L35" s="76"/>
      <c r="M35" s="77"/>
      <c r="N35" s="78"/>
      <c r="O35" s="76"/>
      <c r="P35" s="77"/>
      <c r="Q35" s="292"/>
      <c r="R35" s="293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21">
        <f t="shared" si="2"/>
        <v>44342</v>
      </c>
      <c r="B36" s="172">
        <v>8</v>
      </c>
      <c r="C36" s="22"/>
      <c r="D36" s="23"/>
      <c r="E36" s="24"/>
      <c r="F36" s="22"/>
      <c r="G36" s="23"/>
      <c r="H36" s="24"/>
      <c r="I36" s="22"/>
      <c r="J36" s="23"/>
      <c r="K36" s="24"/>
      <c r="L36" s="22"/>
      <c r="M36" s="23"/>
      <c r="N36" s="24"/>
      <c r="O36" s="22"/>
      <c r="P36" s="23"/>
      <c r="Q36" s="294"/>
      <c r="R36" s="27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21">
        <f t="shared" si="2"/>
        <v>44343</v>
      </c>
      <c r="B37" s="172">
        <v>8</v>
      </c>
      <c r="C37" s="22"/>
      <c r="D37" s="23"/>
      <c r="E37" s="24"/>
      <c r="F37" s="22"/>
      <c r="G37" s="23"/>
      <c r="H37" s="24"/>
      <c r="I37" s="22"/>
      <c r="J37" s="23"/>
      <c r="K37" s="24"/>
      <c r="L37" s="22"/>
      <c r="M37" s="23"/>
      <c r="N37" s="24"/>
      <c r="O37" s="22"/>
      <c r="P37" s="23"/>
      <c r="Q37" s="295"/>
      <c r="R37" s="27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21">
        <f t="shared" si="2"/>
        <v>44344</v>
      </c>
      <c r="B38" s="172">
        <v>8</v>
      </c>
      <c r="C38" s="22"/>
      <c r="D38" s="23"/>
      <c r="E38" s="24"/>
      <c r="F38" s="22"/>
      <c r="G38" s="23"/>
      <c r="H38" s="24"/>
      <c r="I38" s="22"/>
      <c r="J38" s="23"/>
      <c r="K38" s="24"/>
      <c r="L38" s="22"/>
      <c r="M38" s="23"/>
      <c r="N38" s="24"/>
      <c r="O38" s="22"/>
      <c r="P38" s="23"/>
      <c r="Q38" s="295"/>
      <c r="R38" s="27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21">
        <f t="shared" si="2"/>
        <v>44345</v>
      </c>
      <c r="B39" s="172"/>
      <c r="C39" s="22"/>
      <c r="D39" s="23"/>
      <c r="E39" s="24"/>
      <c r="F39" s="22"/>
      <c r="G39" s="23"/>
      <c r="H39" s="24"/>
      <c r="I39" s="22"/>
      <c r="J39" s="23"/>
      <c r="K39" s="24"/>
      <c r="L39" s="22"/>
      <c r="M39" s="23"/>
      <c r="N39" s="24"/>
      <c r="O39" s="22"/>
      <c r="P39" s="23"/>
      <c r="Q39" s="295"/>
      <c r="R39" s="27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thickBot="1" x14ac:dyDescent="0.3">
      <c r="A40" s="21">
        <f t="shared" si="2"/>
        <v>44346</v>
      </c>
      <c r="B40" s="172"/>
      <c r="C40" s="22"/>
      <c r="D40" s="23"/>
      <c r="E40" s="24"/>
      <c r="F40" s="22"/>
      <c r="G40" s="23"/>
      <c r="H40" s="24"/>
      <c r="I40" s="22"/>
      <c r="J40" s="23"/>
      <c r="K40" s="24"/>
      <c r="L40" s="22"/>
      <c r="M40" s="23"/>
      <c r="N40" s="24"/>
      <c r="O40" s="22"/>
      <c r="P40" s="23"/>
      <c r="Q40" s="295"/>
      <c r="R40" s="276"/>
      <c r="S40" s="6"/>
      <c r="T40" s="6"/>
      <c r="U40" s="38"/>
      <c r="V40" s="38"/>
      <c r="W40" s="6"/>
      <c r="X40" s="6"/>
      <c r="Y40" s="6"/>
      <c r="Z40" s="6"/>
      <c r="AA40" s="6"/>
      <c r="AB40" s="6"/>
      <c r="AC40" s="6"/>
    </row>
    <row r="41" spans="1:29" ht="15.75" customHeight="1" thickBot="1" x14ac:dyDescent="0.3">
      <c r="A41" s="10">
        <f t="shared" si="2"/>
        <v>44347</v>
      </c>
      <c r="B41" s="11"/>
      <c r="C41" s="12"/>
      <c r="D41" s="13"/>
      <c r="E41" s="14"/>
      <c r="F41" s="12"/>
      <c r="G41" s="13"/>
      <c r="H41" s="14"/>
      <c r="I41" s="12"/>
      <c r="J41" s="13"/>
      <c r="K41" s="14"/>
      <c r="L41" s="12"/>
      <c r="M41" s="13"/>
      <c r="N41" s="14"/>
      <c r="O41" s="12"/>
      <c r="P41" s="13"/>
      <c r="Q41" s="301" t="s">
        <v>12</v>
      </c>
      <c r="R41" s="276"/>
      <c r="S41" s="6"/>
      <c r="T41" s="6"/>
      <c r="U41" s="38"/>
      <c r="V41" s="38"/>
      <c r="W41" s="6"/>
      <c r="X41" s="6"/>
      <c r="Y41" s="6"/>
      <c r="Z41" s="6"/>
      <c r="AA41" s="6"/>
      <c r="AB41" s="6"/>
      <c r="AC41" s="6"/>
    </row>
    <row r="42" spans="1:29" ht="15.75" customHeight="1" x14ac:dyDescent="0.3">
      <c r="A42" s="39" t="s">
        <v>24</v>
      </c>
      <c r="B42" s="296">
        <f>SUM(B26:B41)</f>
        <v>80</v>
      </c>
      <c r="C42" s="297"/>
      <c r="D42" s="298"/>
      <c r="E42" s="302">
        <f>SUM(E26:E41)</f>
        <v>0</v>
      </c>
      <c r="F42" s="297"/>
      <c r="G42" s="303"/>
      <c r="H42" s="296">
        <f>SUM(H26:H41)</f>
        <v>0</v>
      </c>
      <c r="I42" s="297"/>
      <c r="J42" s="298"/>
      <c r="K42" s="302">
        <f>SUM(K26:K41)</f>
        <v>0</v>
      </c>
      <c r="L42" s="297"/>
      <c r="M42" s="303"/>
      <c r="N42" s="302">
        <f>SUM(N26:N41)</f>
        <v>0</v>
      </c>
      <c r="O42" s="297"/>
      <c r="P42" s="303"/>
      <c r="Q42" s="29" t="s">
        <v>18</v>
      </c>
      <c r="R42" s="40">
        <f t="shared" ref="R42:R44" si="3">SUM(B42:P42)</f>
        <v>80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x14ac:dyDescent="0.3">
      <c r="A43" s="41" t="s">
        <v>25</v>
      </c>
      <c r="B43" s="274">
        <f>SUM(C26:C42)</f>
        <v>0</v>
      </c>
      <c r="C43" s="275"/>
      <c r="D43" s="276"/>
      <c r="E43" s="277">
        <f>SUM(F26:F42)</f>
        <v>0</v>
      </c>
      <c r="F43" s="275"/>
      <c r="G43" s="304"/>
      <c r="H43" s="274">
        <f>SUM(I26:I42)</f>
        <v>0</v>
      </c>
      <c r="I43" s="275"/>
      <c r="J43" s="276"/>
      <c r="K43" s="277">
        <f>SUM(L26:L42)</f>
        <v>0</v>
      </c>
      <c r="L43" s="275"/>
      <c r="M43" s="304"/>
      <c r="N43" s="277">
        <f>SUM(O26:O42)</f>
        <v>0</v>
      </c>
      <c r="O43" s="275"/>
      <c r="P43" s="304"/>
      <c r="Q43" s="33" t="s">
        <v>26</v>
      </c>
      <c r="R43" s="42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15.75" customHeight="1" x14ac:dyDescent="0.3">
      <c r="A44" s="43" t="s">
        <v>27</v>
      </c>
      <c r="B44" s="269">
        <f>SUM(D26:D41)</f>
        <v>0</v>
      </c>
      <c r="C44" s="267"/>
      <c r="D44" s="270"/>
      <c r="E44" s="266">
        <f>SUM(G26:G41)</f>
        <v>0</v>
      </c>
      <c r="F44" s="267"/>
      <c r="G44" s="268"/>
      <c r="H44" s="269">
        <f>SUM(J26:J41)</f>
        <v>0</v>
      </c>
      <c r="I44" s="267"/>
      <c r="J44" s="270"/>
      <c r="K44" s="266">
        <f>SUM(M26:M41)</f>
        <v>0</v>
      </c>
      <c r="L44" s="267"/>
      <c r="M44" s="268"/>
      <c r="N44" s="266">
        <f>SUM(P26:P41)</f>
        <v>0</v>
      </c>
      <c r="O44" s="267"/>
      <c r="P44" s="268"/>
      <c r="Q44" s="36" t="s">
        <v>23</v>
      </c>
      <c r="R44" s="44">
        <f t="shared" si="3"/>
        <v>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6.75" customHeight="1" x14ac:dyDescent="0.3">
      <c r="A45" s="176"/>
      <c r="B45" s="271" t="str">
        <f>IF(ISBLANK(B6),"",B6)</f>
        <v>33-30</v>
      </c>
      <c r="C45" s="272"/>
      <c r="D45" s="273"/>
      <c r="E45" s="271" t="e">
        <f>IF(ISBLANK(E6),"",E6)</f>
        <v>#REF!</v>
      </c>
      <c r="F45" s="272"/>
      <c r="G45" s="273"/>
      <c r="H45" s="271" t="e">
        <f>IF(ISBLANK(H6),"",H6)</f>
        <v>#REF!</v>
      </c>
      <c r="I45" s="272"/>
      <c r="J45" s="273"/>
      <c r="K45" s="271" t="e">
        <f>IF(ISBLANK(K6),"",K6)</f>
        <v>#REF!</v>
      </c>
      <c r="L45" s="272"/>
      <c r="M45" s="273"/>
      <c r="N45" s="271" t="e">
        <f>IF(ISBLANK(N6),"",N6)</f>
        <v>#REF!</v>
      </c>
      <c r="O45" s="272"/>
      <c r="P45" s="273"/>
      <c r="Q45" s="264"/>
      <c r="R45" s="265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3">
      <c r="A46" s="45" t="s">
        <v>28</v>
      </c>
      <c r="B46" s="296">
        <f t="shared" ref="B46:B48" si="4">B23+B42</f>
        <v>144</v>
      </c>
      <c r="C46" s="297"/>
      <c r="D46" s="298"/>
      <c r="E46" s="299">
        <f t="shared" ref="E46:E48" si="5">E23+E42</f>
        <v>0</v>
      </c>
      <c r="F46" s="279"/>
      <c r="G46" s="300"/>
      <c r="H46" s="299">
        <f t="shared" ref="H46:H48" si="6">H23+H42</f>
        <v>0</v>
      </c>
      <c r="I46" s="279"/>
      <c r="J46" s="300"/>
      <c r="K46" s="299">
        <f t="shared" ref="K46:K48" si="7">K23+K42</f>
        <v>0</v>
      </c>
      <c r="L46" s="279"/>
      <c r="M46" s="300"/>
      <c r="N46" s="299">
        <f t="shared" ref="N46:N48" si="8">N23+N42</f>
        <v>0</v>
      </c>
      <c r="O46" s="279"/>
      <c r="P46" s="300"/>
      <c r="Q46" s="29" t="s">
        <v>18</v>
      </c>
      <c r="R46" s="40">
        <f t="shared" ref="R46:R48" si="9">SUM(B46:P46)</f>
        <v>144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x14ac:dyDescent="0.3">
      <c r="A47" s="32" t="s">
        <v>29</v>
      </c>
      <c r="B47" s="277">
        <f t="shared" si="4"/>
        <v>0</v>
      </c>
      <c r="C47" s="275"/>
      <c r="D47" s="276"/>
      <c r="E47" s="274">
        <f t="shared" si="5"/>
        <v>0</v>
      </c>
      <c r="F47" s="275"/>
      <c r="G47" s="276"/>
      <c r="H47" s="274">
        <f t="shared" si="6"/>
        <v>0</v>
      </c>
      <c r="I47" s="275"/>
      <c r="J47" s="276"/>
      <c r="K47" s="274">
        <f t="shared" si="7"/>
        <v>0</v>
      </c>
      <c r="L47" s="275"/>
      <c r="M47" s="276"/>
      <c r="N47" s="274">
        <f t="shared" si="8"/>
        <v>0</v>
      </c>
      <c r="O47" s="275"/>
      <c r="P47" s="276"/>
      <c r="Q47" s="33" t="s">
        <v>26</v>
      </c>
      <c r="R47" s="42">
        <f t="shared" si="9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15.75" customHeight="1" x14ac:dyDescent="0.3">
      <c r="A48" s="46" t="s">
        <v>30</v>
      </c>
      <c r="B48" s="266">
        <f t="shared" si="4"/>
        <v>0</v>
      </c>
      <c r="C48" s="267"/>
      <c r="D48" s="270"/>
      <c r="E48" s="269">
        <f t="shared" si="5"/>
        <v>0</v>
      </c>
      <c r="F48" s="267"/>
      <c r="G48" s="270"/>
      <c r="H48" s="269">
        <f t="shared" si="6"/>
        <v>0</v>
      </c>
      <c r="I48" s="267"/>
      <c r="J48" s="270"/>
      <c r="K48" s="269">
        <f t="shared" si="7"/>
        <v>0</v>
      </c>
      <c r="L48" s="267"/>
      <c r="M48" s="270"/>
      <c r="N48" s="269">
        <f t="shared" si="8"/>
        <v>0</v>
      </c>
      <c r="O48" s="267"/>
      <c r="P48" s="270"/>
      <c r="Q48" s="36" t="s">
        <v>23</v>
      </c>
      <c r="R48" s="44">
        <f t="shared" si="9"/>
        <v>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7.5" customHeight="1" x14ac:dyDescent="0.3">
      <c r="A49" s="47"/>
      <c r="B49" s="271">
        <f>IF(ISBLANK(B10),"",B10)</f>
        <v>8</v>
      </c>
      <c r="C49" s="272"/>
      <c r="D49" s="273"/>
      <c r="E49" s="271" t="str">
        <f>IF(ISBLANK(E10),"",E10)</f>
        <v/>
      </c>
      <c r="F49" s="272"/>
      <c r="G49" s="273"/>
      <c r="H49" s="271" t="str">
        <f>IF(ISBLANK(H10),"",H10)</f>
        <v/>
      </c>
      <c r="I49" s="272"/>
      <c r="J49" s="273"/>
      <c r="K49" s="271" t="str">
        <f>IF(ISBLANK(K10),"",K10)</f>
        <v/>
      </c>
      <c r="L49" s="272"/>
      <c r="M49" s="273"/>
      <c r="N49" s="271" t="str">
        <f>IF(ISBLANK(N10),"",N10)</f>
        <v/>
      </c>
      <c r="O49" s="272"/>
      <c r="P49" s="273"/>
      <c r="Q49" s="264"/>
      <c r="R49" s="265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x14ac:dyDescent="0.3">
      <c r="A50" s="177" t="s">
        <v>31</v>
      </c>
      <c r="B50" s="290">
        <f>SUM(B46:D48)</f>
        <v>144</v>
      </c>
      <c r="C50" s="272"/>
      <c r="D50" s="273"/>
      <c r="E50" s="291">
        <f>SUM(E46:G48)</f>
        <v>0</v>
      </c>
      <c r="F50" s="284"/>
      <c r="G50" s="285"/>
      <c r="H50" s="291">
        <f>SUM(H46:J48)</f>
        <v>0</v>
      </c>
      <c r="I50" s="284"/>
      <c r="J50" s="285"/>
      <c r="K50" s="291">
        <f>SUM(K46:M48)</f>
        <v>0</v>
      </c>
      <c r="L50" s="284"/>
      <c r="M50" s="285"/>
      <c r="N50" s="291">
        <f>SUM(N46:P48)</f>
        <v>0</v>
      </c>
      <c r="O50" s="284"/>
      <c r="P50" s="285"/>
      <c r="Q50" s="286">
        <f t="shared" ref="Q50:Q51" si="10">SUM(B50:P50)</f>
        <v>144</v>
      </c>
      <c r="R50" s="285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x14ac:dyDescent="0.3">
      <c r="A51" s="48" t="s">
        <v>32</v>
      </c>
      <c r="B51" s="283">
        <f>(B46+B48)/((NETWORKDAYS($P$1,EOMONTH($P$1,0), HO))*8)</f>
        <v>0.8571428571428571</v>
      </c>
      <c r="C51" s="284"/>
      <c r="D51" s="285"/>
      <c r="E51" s="283">
        <f>(E46+E48)/((NETWORKDAYS($P$1,EOMONTH($P$1,0), HO))*8)</f>
        <v>0</v>
      </c>
      <c r="F51" s="284"/>
      <c r="G51" s="285"/>
      <c r="H51" s="283">
        <f>(H46+H48)/((NETWORKDAYS($P$1,EOMONTH($P$1,0), HO))*8)</f>
        <v>0</v>
      </c>
      <c r="I51" s="284"/>
      <c r="J51" s="285"/>
      <c r="K51" s="283">
        <f>(K46+K48)/((NETWORKDAYS($P$1,EOMONTH($P$1,0), HO))*8)</f>
        <v>0</v>
      </c>
      <c r="L51" s="284"/>
      <c r="M51" s="285"/>
      <c r="N51" s="283">
        <f>(N46+N48)/((NETWORKDAYS($P$1,EOMONTH($P$1,0), HO))*8)</f>
        <v>0</v>
      </c>
      <c r="O51" s="284"/>
      <c r="P51" s="285"/>
      <c r="Q51" s="283">
        <f t="shared" si="10"/>
        <v>0.8571428571428571</v>
      </c>
      <c r="R51" s="285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15.75" customHeight="1" x14ac:dyDescent="0.3">
      <c r="A52" s="48" t="s">
        <v>33</v>
      </c>
      <c r="B52" s="286">
        <f>R46+R48</f>
        <v>144</v>
      </c>
      <c r="C52" s="284"/>
      <c r="D52" s="285"/>
      <c r="E52" s="283" t="s">
        <v>21</v>
      </c>
      <c r="F52" s="284"/>
      <c r="G52" s="285"/>
      <c r="H52" s="286">
        <f>R47</f>
        <v>0</v>
      </c>
      <c r="I52" s="284"/>
      <c r="J52" s="285"/>
      <c r="K52" s="286">
        <f>R47</f>
        <v>0</v>
      </c>
      <c r="L52" s="284"/>
      <c r="M52" s="285"/>
      <c r="N52" s="283" t="s">
        <v>34</v>
      </c>
      <c r="O52" s="284"/>
      <c r="P52" s="285"/>
      <c r="Q52" s="286">
        <f>B52+H52</f>
        <v>144</v>
      </c>
      <c r="R52" s="285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24.75" customHeight="1" x14ac:dyDescent="0.25">
      <c r="A53" s="287" t="s">
        <v>35</v>
      </c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15.75" customHeight="1" x14ac:dyDescent="0.25">
      <c r="A54" s="49" t="s">
        <v>65</v>
      </c>
      <c r="B54" s="289"/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50" t="s">
        <v>37</v>
      </c>
      <c r="P54" s="289"/>
      <c r="Q54" s="272"/>
      <c r="R54" s="272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51"/>
      <c r="B55" s="38"/>
      <c r="C55" s="38"/>
      <c r="D55" s="52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15.75" customHeight="1" x14ac:dyDescent="0.25">
      <c r="A56" s="51"/>
      <c r="B56" s="38"/>
      <c r="C56" s="38"/>
      <c r="D56" s="52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5.75" customHeight="1" x14ac:dyDescent="0.25">
      <c r="A57" s="278" t="s">
        <v>66</v>
      </c>
      <c r="B57" s="279"/>
      <c r="C57" s="280"/>
      <c r="D57" s="279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281" t="s">
        <v>39</v>
      </c>
      <c r="B58" s="275"/>
      <c r="C58" s="282"/>
      <c r="D58" s="275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spans="1:29" ht="15.75" customHeight="1" x14ac:dyDescent="0.25">
      <c r="A257" s="51"/>
      <c r="B257" s="38"/>
      <c r="C257" s="38"/>
      <c r="D257" s="52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spans="1:29" ht="15.75" customHeight="1" x14ac:dyDescent="0.25">
      <c r="A258" s="51"/>
      <c r="B258" s="38"/>
      <c r="C258" s="38"/>
      <c r="D258" s="52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</row>
    <row r="259" spans="1:29" ht="15.75" customHeight="1" x14ac:dyDescent="0.25"/>
    <row r="260" spans="1:29" ht="15.75" customHeight="1" x14ac:dyDescent="0.25"/>
    <row r="261" spans="1:29" ht="15.75" customHeight="1" x14ac:dyDescent="0.25"/>
    <row r="262" spans="1:29" ht="15.75" customHeight="1" x14ac:dyDescent="0.25"/>
    <row r="263" spans="1:29" ht="15.75" customHeight="1" x14ac:dyDescent="0.25"/>
    <row r="264" spans="1:29" ht="15.75" customHeight="1" x14ac:dyDescent="0.25"/>
    <row r="265" spans="1:29" ht="15.75" customHeight="1" x14ac:dyDescent="0.25"/>
    <row r="266" spans="1:29" ht="15.75" customHeight="1" x14ac:dyDescent="0.25"/>
    <row r="267" spans="1:29" ht="15.75" customHeight="1" x14ac:dyDescent="0.25"/>
    <row r="268" spans="1:29" ht="15.75" customHeight="1" x14ac:dyDescent="0.25"/>
    <row r="269" spans="1:29" ht="15.75" customHeight="1" x14ac:dyDescent="0.25"/>
    <row r="270" spans="1:29" ht="15.75" customHeight="1" x14ac:dyDescent="0.25"/>
    <row r="271" spans="1:29" ht="15.75" customHeight="1" x14ac:dyDescent="0.25"/>
    <row r="272" spans="1:2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7">
    <mergeCell ref="A1:B1"/>
    <mergeCell ref="C1:O1"/>
    <mergeCell ref="P1:R1"/>
    <mergeCell ref="A2:B2"/>
    <mergeCell ref="C2:M2"/>
    <mergeCell ref="N2:R2"/>
    <mergeCell ref="C3:R3"/>
    <mergeCell ref="B5:D5"/>
    <mergeCell ref="E5:G5"/>
    <mergeCell ref="H5:J5"/>
    <mergeCell ref="K5:M5"/>
    <mergeCell ref="B4:D4"/>
    <mergeCell ref="Q4:R7"/>
    <mergeCell ref="B6:D6"/>
    <mergeCell ref="E6:G6"/>
    <mergeCell ref="H6:J6"/>
    <mergeCell ref="K6:M6"/>
    <mergeCell ref="N6:P6"/>
    <mergeCell ref="A3:B3"/>
    <mergeCell ref="E4:G4"/>
    <mergeCell ref="H4:J4"/>
    <mergeCell ref="K4:M4"/>
    <mergeCell ref="N4:P4"/>
    <mergeCell ref="N5:P5"/>
    <mergeCell ref="Q8:R8"/>
    <mergeCell ref="Q9:R9"/>
    <mergeCell ref="Q10:R10"/>
    <mergeCell ref="Q11:R11"/>
    <mergeCell ref="Q12:R12"/>
    <mergeCell ref="Q13:R13"/>
    <mergeCell ref="Q14:R14"/>
    <mergeCell ref="E24:G24"/>
    <mergeCell ref="H24:J24"/>
    <mergeCell ref="Q15:R15"/>
    <mergeCell ref="Q16:R16"/>
    <mergeCell ref="Q17:R17"/>
    <mergeCell ref="Q18:R18"/>
    <mergeCell ref="Q19:R19"/>
    <mergeCell ref="Q20:R20"/>
    <mergeCell ref="Q21:R21"/>
    <mergeCell ref="B25:D25"/>
    <mergeCell ref="E25:G25"/>
    <mergeCell ref="H25:J25"/>
    <mergeCell ref="K24:M24"/>
    <mergeCell ref="N24:P24"/>
    <mergeCell ref="K25:M25"/>
    <mergeCell ref="N25:P25"/>
    <mergeCell ref="Q22:R22"/>
    <mergeCell ref="B23:D23"/>
    <mergeCell ref="E23:G23"/>
    <mergeCell ref="H23:J23"/>
    <mergeCell ref="K23:M23"/>
    <mergeCell ref="N23:P23"/>
    <mergeCell ref="B24:D24"/>
    <mergeCell ref="N43:P43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N49:P49"/>
    <mergeCell ref="Q35:R35"/>
    <mergeCell ref="Q36:R36"/>
    <mergeCell ref="Q37:R37"/>
    <mergeCell ref="Q38:R38"/>
    <mergeCell ref="Q39:R39"/>
    <mergeCell ref="B46:D46"/>
    <mergeCell ref="E46:G46"/>
    <mergeCell ref="H46:J46"/>
    <mergeCell ref="K46:M46"/>
    <mergeCell ref="N46:P46"/>
    <mergeCell ref="Q40:R40"/>
    <mergeCell ref="Q41:R41"/>
    <mergeCell ref="B42:D42"/>
    <mergeCell ref="E42:G42"/>
    <mergeCell ref="H42:J42"/>
    <mergeCell ref="K42:M42"/>
    <mergeCell ref="N42:P42"/>
    <mergeCell ref="H44:J44"/>
    <mergeCell ref="K44:M44"/>
    <mergeCell ref="B43:D43"/>
    <mergeCell ref="E43:G43"/>
    <mergeCell ref="H43:J43"/>
    <mergeCell ref="K43:M43"/>
    <mergeCell ref="B50:D50"/>
    <mergeCell ref="E50:G50"/>
    <mergeCell ref="H50:J50"/>
    <mergeCell ref="K50:M50"/>
    <mergeCell ref="N50:P50"/>
    <mergeCell ref="Q50:R50"/>
    <mergeCell ref="B51:D51"/>
    <mergeCell ref="Q51:R51"/>
    <mergeCell ref="B52:D52"/>
    <mergeCell ref="A57:B57"/>
    <mergeCell ref="C57:D57"/>
    <mergeCell ref="A58:B58"/>
    <mergeCell ref="C58:D58"/>
    <mergeCell ref="E51:G51"/>
    <mergeCell ref="H51:J51"/>
    <mergeCell ref="E52:G52"/>
    <mergeCell ref="H52:J52"/>
    <mergeCell ref="A53:R53"/>
    <mergeCell ref="B54:N54"/>
    <mergeCell ref="P54:R54"/>
    <mergeCell ref="K51:M51"/>
    <mergeCell ref="N51:P51"/>
    <mergeCell ref="K52:M52"/>
    <mergeCell ref="N52:P52"/>
    <mergeCell ref="Q52:R52"/>
    <mergeCell ref="Q49:R49"/>
    <mergeCell ref="E44:G44"/>
    <mergeCell ref="N44:P44"/>
    <mergeCell ref="B44:D44"/>
    <mergeCell ref="B45:D45"/>
    <mergeCell ref="E45:G45"/>
    <mergeCell ref="H45:J45"/>
    <mergeCell ref="K45:M45"/>
    <mergeCell ref="N45:P45"/>
    <mergeCell ref="Q45:R45"/>
    <mergeCell ref="E47:G47"/>
    <mergeCell ref="N47:P47"/>
    <mergeCell ref="B47:D47"/>
    <mergeCell ref="B48:D48"/>
    <mergeCell ref="E48:G48"/>
    <mergeCell ref="H48:J48"/>
    <mergeCell ref="K48:M48"/>
    <mergeCell ref="N48:P48"/>
    <mergeCell ref="B49:D49"/>
    <mergeCell ref="H47:J47"/>
    <mergeCell ref="K47:M47"/>
    <mergeCell ref="E49:G49"/>
    <mergeCell ref="H49:J49"/>
    <mergeCell ref="K49:M49"/>
  </mergeCells>
  <conditionalFormatting sqref="B23 K42:N42">
    <cfRule type="cellIs" dxfId="533" priority="4" operator="greaterThan">
      <formula>0</formula>
    </cfRule>
  </conditionalFormatting>
  <conditionalFormatting sqref="B24 K43:N43">
    <cfRule type="cellIs" dxfId="532" priority="1" operator="greaterThan">
      <formula>1</formula>
    </cfRule>
  </conditionalFormatting>
  <conditionalFormatting sqref="B24:B25 K44:N44">
    <cfRule type="cellIs" dxfId="531" priority="3" operator="greaterThan">
      <formula>0</formula>
    </cfRule>
  </conditionalFormatting>
  <conditionalFormatting sqref="B42">
    <cfRule type="cellIs" dxfId="530" priority="17" operator="greaterThan">
      <formula>0</formula>
    </cfRule>
  </conditionalFormatting>
  <conditionalFormatting sqref="B43">
    <cfRule type="cellIs" dxfId="529" priority="14" operator="greaterThan">
      <formula>1</formula>
    </cfRule>
    <cfRule type="cellIs" dxfId="528" priority="74" operator="greaterThan">
      <formula>1</formula>
    </cfRule>
  </conditionalFormatting>
  <conditionalFormatting sqref="B43:B44">
    <cfRule type="cellIs" dxfId="527" priority="16" operator="greaterThan">
      <formula>0</formula>
    </cfRule>
    <cfRule type="cellIs" dxfId="526" priority="76" operator="greaterThan">
      <formula>0</formula>
    </cfRule>
  </conditionalFormatting>
  <conditionalFormatting sqref="B46">
    <cfRule type="cellIs" dxfId="525" priority="11" operator="greaterThan">
      <formula>0</formula>
    </cfRule>
  </conditionalFormatting>
  <conditionalFormatting sqref="B47">
    <cfRule type="cellIs" dxfId="524" priority="8" operator="greaterThan">
      <formula>1</formula>
    </cfRule>
  </conditionalFormatting>
  <conditionalFormatting sqref="B47:B48">
    <cfRule type="cellIs" dxfId="523" priority="10" operator="greaterThan">
      <formula>0</formula>
    </cfRule>
  </conditionalFormatting>
  <conditionalFormatting sqref="B25:D25">
    <cfRule type="cellIs" dxfId="522" priority="49" operator="greaterThan">
      <formula>0</formula>
    </cfRule>
  </conditionalFormatting>
  <conditionalFormatting sqref="B44:D44">
    <cfRule type="cellIs" dxfId="521" priority="79" operator="greaterThan">
      <formula>0</formula>
    </cfRule>
  </conditionalFormatting>
  <conditionalFormatting sqref="B48:M48">
    <cfRule type="cellIs" dxfId="520" priority="116" operator="greaterThan">
      <formula>0</formula>
    </cfRule>
  </conditionalFormatting>
  <conditionalFormatting sqref="B50:M50">
    <cfRule type="cellIs" dxfId="519" priority="13" operator="greaterThan">
      <formula>0</formula>
    </cfRule>
  </conditionalFormatting>
  <conditionalFormatting sqref="B48:P48 R48">
    <cfRule type="cellIs" dxfId="518" priority="7" operator="greaterThan">
      <formula>0</formula>
    </cfRule>
  </conditionalFormatting>
  <conditionalFormatting sqref="E24">
    <cfRule type="cellIs" dxfId="517" priority="50" operator="greaterThan">
      <formula>1</formula>
    </cfRule>
  </conditionalFormatting>
  <conditionalFormatting sqref="E24:E25">
    <cfRule type="cellIs" dxfId="516" priority="52" operator="greaterThan">
      <formula>0</formula>
    </cfRule>
  </conditionalFormatting>
  <conditionalFormatting sqref="E42">
    <cfRule type="cellIs" dxfId="515" priority="22" operator="greaterThan">
      <formula>0</formula>
    </cfRule>
  </conditionalFormatting>
  <conditionalFormatting sqref="E43">
    <cfRule type="cellIs" dxfId="514" priority="19" operator="greaterThan">
      <formula>1</formula>
    </cfRule>
    <cfRule type="cellIs" dxfId="513" priority="85" operator="greaterThan">
      <formula>1</formula>
    </cfRule>
    <cfRule type="cellIs" dxfId="512" priority="80" operator="greaterThan">
      <formula>1</formula>
    </cfRule>
  </conditionalFormatting>
  <conditionalFormatting sqref="E43:E44">
    <cfRule type="cellIs" dxfId="511" priority="21" operator="greaterThan">
      <formula>0</formula>
    </cfRule>
    <cfRule type="cellIs" dxfId="510" priority="82" operator="greaterThan">
      <formula>0</formula>
    </cfRule>
    <cfRule type="cellIs" dxfId="509" priority="87" operator="greaterThan">
      <formula>0</formula>
    </cfRule>
  </conditionalFormatting>
  <conditionalFormatting sqref="E46">
    <cfRule type="cellIs" dxfId="508" priority="37" operator="greaterThan">
      <formula>0</formula>
    </cfRule>
  </conditionalFormatting>
  <conditionalFormatting sqref="E47">
    <cfRule type="cellIs" dxfId="507" priority="34" operator="greaterThan">
      <formula>1</formula>
    </cfRule>
  </conditionalFormatting>
  <conditionalFormatting sqref="E47:E48">
    <cfRule type="cellIs" dxfId="506" priority="36" operator="greaterThan">
      <formula>0</formula>
    </cfRule>
  </conditionalFormatting>
  <conditionalFormatting sqref="E25:G25">
    <cfRule type="cellIs" dxfId="505" priority="55" operator="greaterThan">
      <formula>0</formula>
    </cfRule>
  </conditionalFormatting>
  <conditionalFormatting sqref="E44:G44">
    <cfRule type="cellIs" dxfId="504" priority="90" operator="greaterThan">
      <formula>0</formula>
    </cfRule>
  </conditionalFormatting>
  <conditionalFormatting sqref="E23:H23">
    <cfRule type="cellIs" dxfId="503" priority="53" operator="greaterThan">
      <formula>0</formula>
    </cfRule>
  </conditionalFormatting>
  <conditionalFormatting sqref="E24:M24">
    <cfRule type="cellIs" dxfId="502" priority="69" operator="greaterThan">
      <formula>0</formula>
    </cfRule>
  </conditionalFormatting>
  <conditionalFormatting sqref="E43:M43">
    <cfRule type="cellIs" dxfId="501" priority="113" operator="greaterThan">
      <formula>0</formula>
    </cfRule>
  </conditionalFormatting>
  <conditionalFormatting sqref="H24">
    <cfRule type="cellIs" dxfId="500" priority="56" operator="greaterThan">
      <formula>1</formula>
    </cfRule>
  </conditionalFormatting>
  <conditionalFormatting sqref="H24:H25">
    <cfRule type="cellIs" dxfId="499" priority="58" operator="greaterThan">
      <formula>0</formula>
    </cfRule>
  </conditionalFormatting>
  <conditionalFormatting sqref="H42">
    <cfRule type="cellIs" dxfId="498" priority="27" operator="greaterThan">
      <formula>0</formula>
    </cfRule>
  </conditionalFormatting>
  <conditionalFormatting sqref="H43">
    <cfRule type="cellIs" dxfId="497" priority="24" operator="greaterThan">
      <formula>1</formula>
    </cfRule>
    <cfRule type="cellIs" dxfId="496" priority="96" operator="greaterThan">
      <formula>1</formula>
    </cfRule>
    <cfRule type="cellIs" dxfId="495" priority="91" operator="greaterThan">
      <formula>1</formula>
    </cfRule>
  </conditionalFormatting>
  <conditionalFormatting sqref="H43:H44">
    <cfRule type="cellIs" dxfId="494" priority="26" operator="greaterThan">
      <formula>0</formula>
    </cfRule>
    <cfRule type="cellIs" dxfId="493" priority="93" operator="greaterThan">
      <formula>0</formula>
    </cfRule>
    <cfRule type="cellIs" dxfId="492" priority="98" operator="greaterThan">
      <formula>0</formula>
    </cfRule>
  </conditionalFormatting>
  <conditionalFormatting sqref="H46">
    <cfRule type="cellIs" dxfId="491" priority="42" operator="greaterThan">
      <formula>0</formula>
    </cfRule>
  </conditionalFormatting>
  <conditionalFormatting sqref="H47">
    <cfRule type="cellIs" dxfId="490" priority="39" operator="greaterThan">
      <formula>1</formula>
    </cfRule>
  </conditionalFormatting>
  <conditionalFormatting sqref="H47:H48">
    <cfRule type="cellIs" dxfId="489" priority="41" operator="greaterThan">
      <formula>0</formula>
    </cfRule>
  </conditionalFormatting>
  <conditionalFormatting sqref="H25:J25">
    <cfRule type="cellIs" dxfId="488" priority="61" operator="greaterThan">
      <formula>0</formula>
    </cfRule>
  </conditionalFormatting>
  <conditionalFormatting sqref="H44:J44">
    <cfRule type="cellIs" dxfId="487" priority="101" operator="greaterThan">
      <formula>0</formula>
    </cfRule>
  </conditionalFormatting>
  <conditionalFormatting sqref="K24">
    <cfRule type="cellIs" dxfId="486" priority="63" operator="greaterThan">
      <formula>1</formula>
    </cfRule>
  </conditionalFormatting>
  <conditionalFormatting sqref="K24:K25">
    <cfRule type="cellIs" dxfId="485" priority="65" operator="greaterThan">
      <formula>0</formula>
    </cfRule>
  </conditionalFormatting>
  <conditionalFormatting sqref="K43">
    <cfRule type="cellIs" dxfId="484" priority="102" operator="greaterThan">
      <formula>1</formula>
    </cfRule>
    <cfRule type="cellIs" dxfId="483" priority="107" operator="greaterThan">
      <formula>1</formula>
    </cfRule>
  </conditionalFormatting>
  <conditionalFormatting sqref="K43:K44">
    <cfRule type="cellIs" dxfId="482" priority="104" operator="greaterThan">
      <formula>0</formula>
    </cfRule>
    <cfRule type="cellIs" dxfId="481" priority="109" operator="greaterThan">
      <formula>0</formula>
    </cfRule>
    <cfRule type="cellIs" dxfId="480" priority="31" operator="greaterThan">
      <formula>0</formula>
    </cfRule>
  </conditionalFormatting>
  <conditionalFormatting sqref="K46">
    <cfRule type="cellIs" dxfId="479" priority="47" operator="greaterThan">
      <formula>0</formula>
    </cfRule>
  </conditionalFormatting>
  <conditionalFormatting sqref="K47">
    <cfRule type="cellIs" dxfId="478" priority="44" operator="greaterThan">
      <formula>1</formula>
    </cfRule>
  </conditionalFormatting>
  <conditionalFormatting sqref="K47:K48">
    <cfRule type="cellIs" dxfId="477" priority="46" operator="greaterThan">
      <formula>0</formula>
    </cfRule>
  </conditionalFormatting>
  <conditionalFormatting sqref="K23:M23">
    <cfRule type="cellIs" dxfId="476" priority="66" operator="greaterThan">
      <formula>0</formula>
    </cfRule>
  </conditionalFormatting>
  <conditionalFormatting sqref="K25:M25">
    <cfRule type="cellIs" dxfId="475" priority="68" operator="greaterThan">
      <formula>0</formula>
    </cfRule>
  </conditionalFormatting>
  <conditionalFormatting sqref="K44:M44">
    <cfRule type="cellIs" dxfId="474" priority="112" operator="greaterThan">
      <formula>0</formula>
    </cfRule>
  </conditionalFormatting>
  <conditionalFormatting sqref="K47:M47">
    <cfRule type="cellIs" dxfId="473" priority="117" operator="greaterThan">
      <formula>0</formula>
    </cfRule>
  </conditionalFormatting>
  <conditionalFormatting sqref="K47:P47">
    <cfRule type="cellIs" dxfId="472" priority="6" operator="greaterThan">
      <formula>0</formula>
    </cfRule>
  </conditionalFormatting>
  <pageMargins left="0.25" right="0.25" top="0.75" bottom="0.75" header="0.3" footer="0.3"/>
  <pageSetup scale="75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C1000"/>
  <sheetViews>
    <sheetView workbookViewId="0">
      <selection activeCell="B27" sqref="B27"/>
    </sheetView>
  </sheetViews>
  <sheetFormatPr defaultColWidth="14.44140625" defaultRowHeight="15" customHeight="1" x14ac:dyDescent="0.25"/>
  <cols>
    <col min="1" max="1" width="20.44140625" customWidth="1"/>
    <col min="2" max="16" width="5.33203125" customWidth="1"/>
    <col min="17" max="17" width="14.6640625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17.399999999999999" x14ac:dyDescent="0.3">
      <c r="A1" s="311" t="s">
        <v>59</v>
      </c>
      <c r="B1" s="272"/>
      <c r="C1" s="312" t="s">
        <v>1</v>
      </c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313">
        <v>44353</v>
      </c>
      <c r="Q1" s="272"/>
      <c r="R1" s="272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314" t="s">
        <v>2</v>
      </c>
      <c r="B2" s="303"/>
      <c r="C2" s="315" t="s">
        <v>67</v>
      </c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316" t="s">
        <v>68</v>
      </c>
      <c r="O2" s="279"/>
      <c r="P2" s="279"/>
      <c r="Q2" s="279"/>
      <c r="R2" s="300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7.399999999999999" x14ac:dyDescent="0.3">
      <c r="A3" s="325" t="s">
        <v>3</v>
      </c>
      <c r="B3" s="268"/>
      <c r="C3" s="317" t="s">
        <v>69</v>
      </c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70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6.5" customHeight="1" x14ac:dyDescent="0.25">
      <c r="A4" s="2" t="s">
        <v>4</v>
      </c>
      <c r="B4" s="320" t="e">
        <f>#REF!</f>
        <v>#REF!</v>
      </c>
      <c r="C4" s="297"/>
      <c r="D4" s="298"/>
      <c r="E4" s="320" t="e">
        <f>#REF!</f>
        <v>#REF!</v>
      </c>
      <c r="F4" s="297"/>
      <c r="G4" s="298"/>
      <c r="H4" s="320" t="e">
        <f>#REF!</f>
        <v>#REF!</v>
      </c>
      <c r="I4" s="297"/>
      <c r="J4" s="298"/>
      <c r="K4" s="320" t="e">
        <f>#REF!</f>
        <v>#REF!</v>
      </c>
      <c r="L4" s="297"/>
      <c r="M4" s="298"/>
      <c r="N4" s="320" t="e">
        <f>#REF!</f>
        <v>#REF!</v>
      </c>
      <c r="O4" s="297"/>
      <c r="P4" s="298"/>
      <c r="Q4" s="321" t="s">
        <v>5</v>
      </c>
      <c r="R4" s="322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4" t="s">
        <v>6</v>
      </c>
      <c r="B5" s="318" t="e">
        <f>#REF!</f>
        <v>#REF!</v>
      </c>
      <c r="C5" s="319"/>
      <c r="D5" s="308"/>
      <c r="E5" s="318" t="e">
        <f>#REF!</f>
        <v>#REF!</v>
      </c>
      <c r="F5" s="319"/>
      <c r="G5" s="308"/>
      <c r="H5" s="318" t="e">
        <f>#REF!</f>
        <v>#REF!</v>
      </c>
      <c r="I5" s="319"/>
      <c r="J5" s="308"/>
      <c r="K5" s="318" t="e">
        <f>#REF!</f>
        <v>#REF!</v>
      </c>
      <c r="L5" s="319"/>
      <c r="M5" s="308"/>
      <c r="N5" s="318" t="e">
        <f>#REF!</f>
        <v>#REF!</v>
      </c>
      <c r="O5" s="319"/>
      <c r="P5" s="308"/>
      <c r="Q5" s="323"/>
      <c r="R5" s="265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x14ac:dyDescent="0.25">
      <c r="A6" s="5" t="s">
        <v>7</v>
      </c>
      <c r="B6" s="318" t="e">
        <f>#REF!</f>
        <v>#REF!</v>
      </c>
      <c r="C6" s="319"/>
      <c r="D6" s="308"/>
      <c r="E6" s="318" t="e">
        <f>#REF!</f>
        <v>#REF!</v>
      </c>
      <c r="F6" s="319"/>
      <c r="G6" s="308"/>
      <c r="H6" s="318" t="e">
        <f>#REF!</f>
        <v>#REF!</v>
      </c>
      <c r="I6" s="319"/>
      <c r="J6" s="308"/>
      <c r="K6" s="318" t="e">
        <f>#REF!</f>
        <v>#REF!</v>
      </c>
      <c r="L6" s="319"/>
      <c r="M6" s="308"/>
      <c r="N6" s="318" t="e">
        <f>#REF!</f>
        <v>#REF!</v>
      </c>
      <c r="O6" s="319"/>
      <c r="P6" s="308"/>
      <c r="Q6" s="323"/>
      <c r="R6" s="265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x14ac:dyDescent="0.25">
      <c r="A7" s="164"/>
      <c r="B7" s="7" t="s">
        <v>8</v>
      </c>
      <c r="C7" s="8" t="s">
        <v>9</v>
      </c>
      <c r="D7" s="9" t="s">
        <v>10</v>
      </c>
      <c r="E7" s="7" t="s">
        <v>8</v>
      </c>
      <c r="F7" s="8" t="s">
        <v>9</v>
      </c>
      <c r="G7" s="9" t="s">
        <v>10</v>
      </c>
      <c r="H7" s="7" t="s">
        <v>8</v>
      </c>
      <c r="I7" s="8" t="s">
        <v>9</v>
      </c>
      <c r="J7" s="9" t="s">
        <v>10</v>
      </c>
      <c r="K7" s="7" t="s">
        <v>8</v>
      </c>
      <c r="L7" s="8" t="s">
        <v>9</v>
      </c>
      <c r="M7" s="9" t="s">
        <v>10</v>
      </c>
      <c r="N7" s="7" t="s">
        <v>8</v>
      </c>
      <c r="O7" s="8" t="s">
        <v>9</v>
      </c>
      <c r="P7" s="9" t="s">
        <v>10</v>
      </c>
      <c r="Q7" s="324"/>
      <c r="R7" s="273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2" x14ac:dyDescent="0.25">
      <c r="A8" s="10">
        <v>44348</v>
      </c>
      <c r="B8" s="165">
        <v>8</v>
      </c>
      <c r="C8" s="166"/>
      <c r="D8" s="167"/>
      <c r="E8" s="168"/>
      <c r="F8" s="166"/>
      <c r="G8" s="167"/>
      <c r="H8" s="168"/>
      <c r="I8" s="166"/>
      <c r="J8" s="167"/>
      <c r="K8" s="168"/>
      <c r="L8" s="166"/>
      <c r="M8" s="167"/>
      <c r="N8" s="168"/>
      <c r="O8" s="166"/>
      <c r="P8" s="167"/>
      <c r="Q8" s="309"/>
      <c r="R8" s="29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2" x14ac:dyDescent="0.25">
      <c r="A9" s="15">
        <f t="shared" ref="A9:A22" si="0">A8+1</f>
        <v>44349</v>
      </c>
      <c r="B9" s="16">
        <v>8</v>
      </c>
      <c r="C9" s="17"/>
      <c r="D9" s="18"/>
      <c r="E9" s="19"/>
      <c r="F9" s="17"/>
      <c r="G9" s="18"/>
      <c r="H9" s="19"/>
      <c r="I9" s="17"/>
      <c r="J9" s="18"/>
      <c r="K9" s="19"/>
      <c r="L9" s="17"/>
      <c r="M9" s="18"/>
      <c r="N9" s="19"/>
      <c r="O9" s="17"/>
      <c r="P9" s="18"/>
      <c r="Q9" s="310"/>
      <c r="R9" s="276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3.2" x14ac:dyDescent="0.25">
      <c r="A10" s="21">
        <f t="shared" si="0"/>
        <v>44350</v>
      </c>
      <c r="B10" s="165">
        <v>8</v>
      </c>
      <c r="C10" s="22"/>
      <c r="D10" s="23"/>
      <c r="E10" s="24"/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  <c r="Q10" s="295"/>
      <c r="R10" s="27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2" x14ac:dyDescent="0.25">
      <c r="A11" s="21">
        <f t="shared" si="0"/>
        <v>44351</v>
      </c>
      <c r="B11" s="165">
        <v>8</v>
      </c>
      <c r="C11" s="22"/>
      <c r="D11" s="23"/>
      <c r="E11" s="24"/>
      <c r="F11" s="22"/>
      <c r="G11" s="23"/>
      <c r="H11" s="24"/>
      <c r="I11" s="22"/>
      <c r="J11" s="23"/>
      <c r="K11" s="24"/>
      <c r="L11" s="22"/>
      <c r="M11" s="23"/>
      <c r="N11" s="24"/>
      <c r="O11" s="22"/>
      <c r="P11" s="23"/>
      <c r="Q11" s="295"/>
      <c r="R11" s="27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2" x14ac:dyDescent="0.25">
      <c r="A12" s="21">
        <f t="shared" si="0"/>
        <v>44352</v>
      </c>
      <c r="B12" s="165"/>
      <c r="C12" s="22"/>
      <c r="D12" s="23"/>
      <c r="E12" s="24"/>
      <c r="F12" s="22"/>
      <c r="G12" s="23"/>
      <c r="H12" s="24"/>
      <c r="I12" s="22"/>
      <c r="J12" s="23"/>
      <c r="K12" s="24"/>
      <c r="L12" s="22"/>
      <c r="M12" s="23"/>
      <c r="N12" s="24"/>
      <c r="O12" s="22"/>
      <c r="P12" s="23"/>
      <c r="Q12" s="295"/>
      <c r="R12" s="27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2" x14ac:dyDescent="0.25">
      <c r="A13" s="21">
        <f t="shared" si="0"/>
        <v>44353</v>
      </c>
      <c r="B13" s="165"/>
      <c r="C13" s="22"/>
      <c r="D13" s="23"/>
      <c r="E13" s="24"/>
      <c r="F13" s="22"/>
      <c r="G13" s="23"/>
      <c r="H13" s="24"/>
      <c r="I13" s="22"/>
      <c r="J13" s="23"/>
      <c r="K13" s="24"/>
      <c r="L13" s="22"/>
      <c r="M13" s="23"/>
      <c r="N13" s="24"/>
      <c r="O13" s="22"/>
      <c r="P13" s="23"/>
      <c r="Q13" s="295"/>
      <c r="R13" s="27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2" x14ac:dyDescent="0.25">
      <c r="A14" s="21">
        <f t="shared" si="0"/>
        <v>44354</v>
      </c>
      <c r="B14" s="165"/>
      <c r="C14" s="22"/>
      <c r="D14" s="23"/>
      <c r="E14" s="24"/>
      <c r="F14" s="22"/>
      <c r="G14" s="23"/>
      <c r="H14" s="24"/>
      <c r="I14" s="22"/>
      <c r="J14" s="23"/>
      <c r="K14" s="24"/>
      <c r="L14" s="22"/>
      <c r="M14" s="23"/>
      <c r="N14" s="24"/>
      <c r="O14" s="22"/>
      <c r="P14" s="23"/>
      <c r="Q14" s="295"/>
      <c r="R14" s="27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2" x14ac:dyDescent="0.25">
      <c r="A15" s="21">
        <f t="shared" si="0"/>
        <v>44355</v>
      </c>
      <c r="B15" s="165"/>
      <c r="C15" s="22"/>
      <c r="D15" s="23"/>
      <c r="E15" s="24"/>
      <c r="F15" s="22"/>
      <c r="G15" s="23"/>
      <c r="H15" s="24"/>
      <c r="I15" s="22"/>
      <c r="J15" s="23"/>
      <c r="K15" s="24"/>
      <c r="L15" s="22"/>
      <c r="M15" s="23"/>
      <c r="N15" s="24"/>
      <c r="O15" s="22"/>
      <c r="P15" s="23"/>
      <c r="Q15" s="294"/>
      <c r="R15" s="27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2" x14ac:dyDescent="0.25">
      <c r="A16" s="21">
        <f t="shared" si="0"/>
        <v>44356</v>
      </c>
      <c r="B16" s="165"/>
      <c r="C16" s="22"/>
      <c r="D16" s="23"/>
      <c r="E16" s="24"/>
      <c r="F16" s="22"/>
      <c r="G16" s="23"/>
      <c r="H16" s="24"/>
      <c r="I16" s="22"/>
      <c r="J16" s="23"/>
      <c r="K16" s="24"/>
      <c r="L16" s="22"/>
      <c r="M16" s="23"/>
      <c r="N16" s="24"/>
      <c r="O16" s="22"/>
      <c r="P16" s="23"/>
      <c r="Q16" s="295"/>
      <c r="R16" s="27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3.8" x14ac:dyDescent="0.3">
      <c r="A17" s="21">
        <f t="shared" si="0"/>
        <v>44357</v>
      </c>
      <c r="B17" s="165">
        <v>8</v>
      </c>
      <c r="C17" s="22"/>
      <c r="D17" s="23"/>
      <c r="E17" s="24"/>
      <c r="F17" s="22"/>
      <c r="G17" s="23"/>
      <c r="H17" s="24"/>
      <c r="I17" s="22"/>
      <c r="J17" s="23"/>
      <c r="K17" s="24"/>
      <c r="L17" s="22"/>
      <c r="M17" s="23"/>
      <c r="N17" s="24"/>
      <c r="O17" s="22"/>
      <c r="P17" s="23"/>
      <c r="Q17" s="295"/>
      <c r="R17" s="276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3.8" x14ac:dyDescent="0.3">
      <c r="A18" s="21">
        <f t="shared" si="0"/>
        <v>44358</v>
      </c>
      <c r="B18" s="165">
        <v>8</v>
      </c>
      <c r="C18" s="22"/>
      <c r="D18" s="23"/>
      <c r="E18" s="24"/>
      <c r="F18" s="22"/>
      <c r="G18" s="23"/>
      <c r="H18" s="24"/>
      <c r="I18" s="22"/>
      <c r="J18" s="23"/>
      <c r="K18" s="24"/>
      <c r="L18" s="22"/>
      <c r="M18" s="23"/>
      <c r="N18" s="24"/>
      <c r="O18" s="22"/>
      <c r="P18" s="23"/>
      <c r="Q18" s="294"/>
      <c r="R18" s="276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3.8" x14ac:dyDescent="0.3">
      <c r="A19" s="21">
        <f t="shared" si="0"/>
        <v>44359</v>
      </c>
      <c r="B19" s="165"/>
      <c r="C19" s="22"/>
      <c r="D19" s="23"/>
      <c r="E19" s="24"/>
      <c r="F19" s="22"/>
      <c r="G19" s="23"/>
      <c r="H19" s="24"/>
      <c r="I19" s="22"/>
      <c r="J19" s="23"/>
      <c r="K19" s="24"/>
      <c r="L19" s="22"/>
      <c r="M19" s="23"/>
      <c r="N19" s="24"/>
      <c r="O19" s="22"/>
      <c r="P19" s="23"/>
      <c r="Q19" s="295"/>
      <c r="R19" s="276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3.8" x14ac:dyDescent="0.3">
      <c r="A20" s="21">
        <f t="shared" si="0"/>
        <v>44360</v>
      </c>
      <c r="B20" s="165"/>
      <c r="C20" s="22"/>
      <c r="D20" s="23"/>
      <c r="E20" s="24"/>
      <c r="F20" s="22"/>
      <c r="G20" s="23"/>
      <c r="H20" s="24"/>
      <c r="I20" s="22"/>
      <c r="J20" s="23"/>
      <c r="K20" s="24"/>
      <c r="L20" s="22"/>
      <c r="M20" s="23"/>
      <c r="N20" s="24"/>
      <c r="O20" s="22"/>
      <c r="P20" s="23"/>
      <c r="Q20" s="295"/>
      <c r="R20" s="276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21">
        <f t="shared" si="0"/>
        <v>44361</v>
      </c>
      <c r="B21" s="165">
        <v>8</v>
      </c>
      <c r="C21" s="22"/>
      <c r="D21" s="23"/>
      <c r="E21" s="24"/>
      <c r="F21" s="22"/>
      <c r="G21" s="23"/>
      <c r="H21" s="24"/>
      <c r="I21" s="22"/>
      <c r="J21" s="23"/>
      <c r="K21" s="24"/>
      <c r="L21" s="22"/>
      <c r="M21" s="23"/>
      <c r="N21" s="24"/>
      <c r="O21" s="22"/>
      <c r="P21" s="23"/>
      <c r="Q21" s="295"/>
      <c r="R21" s="276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x14ac:dyDescent="0.3">
      <c r="A22" s="26">
        <f t="shared" si="0"/>
        <v>44362</v>
      </c>
      <c r="B22" s="165">
        <v>8</v>
      </c>
      <c r="C22" s="169"/>
      <c r="D22" s="170"/>
      <c r="E22" s="171"/>
      <c r="F22" s="169"/>
      <c r="G22" s="170"/>
      <c r="H22" s="171"/>
      <c r="I22" s="169"/>
      <c r="J22" s="170"/>
      <c r="K22" s="171"/>
      <c r="L22" s="169"/>
      <c r="M22" s="170"/>
      <c r="N22" s="171"/>
      <c r="O22" s="169"/>
      <c r="P22" s="170"/>
      <c r="Q22" s="307"/>
      <c r="R22" s="308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28" t="s">
        <v>17</v>
      </c>
      <c r="B23" s="302">
        <f>SUM(B8:B22)</f>
        <v>64</v>
      </c>
      <c r="C23" s="297"/>
      <c r="D23" s="298"/>
      <c r="E23" s="302">
        <f>SUM(E8:E22)</f>
        <v>0</v>
      </c>
      <c r="F23" s="297"/>
      <c r="G23" s="298"/>
      <c r="H23" s="302">
        <f>SUM(H8:H22)</f>
        <v>0</v>
      </c>
      <c r="I23" s="297"/>
      <c r="J23" s="298"/>
      <c r="K23" s="302">
        <f>SUM(K8:K22)</f>
        <v>0</v>
      </c>
      <c r="L23" s="297"/>
      <c r="M23" s="298"/>
      <c r="N23" s="302">
        <f>SUM(N8:N22)</f>
        <v>0</v>
      </c>
      <c r="O23" s="297"/>
      <c r="P23" s="298"/>
      <c r="Q23" s="29" t="s">
        <v>18</v>
      </c>
      <c r="R23" s="30">
        <f t="shared" ref="R23:R25" si="1">SUM(B23:P23)</f>
        <v>64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3">
      <c r="A24" s="32" t="s">
        <v>20</v>
      </c>
      <c r="B24" s="277">
        <f>SUM(C8:C23)</f>
        <v>0</v>
      </c>
      <c r="C24" s="275"/>
      <c r="D24" s="276"/>
      <c r="E24" s="277">
        <f>SUM(F8:F23)</f>
        <v>0</v>
      </c>
      <c r="F24" s="275"/>
      <c r="G24" s="276"/>
      <c r="H24" s="277">
        <f>SUM(I8:I23)</f>
        <v>0</v>
      </c>
      <c r="I24" s="275"/>
      <c r="J24" s="276"/>
      <c r="K24" s="277">
        <f>SUM(L8:L23)</f>
        <v>0</v>
      </c>
      <c r="L24" s="275"/>
      <c r="M24" s="276"/>
      <c r="N24" s="277">
        <f>SUM(O8:O23)</f>
        <v>0</v>
      </c>
      <c r="O24" s="275"/>
      <c r="P24" s="276"/>
      <c r="Q24" s="33" t="s">
        <v>21</v>
      </c>
      <c r="R24" s="34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x14ac:dyDescent="0.3">
      <c r="A25" s="35" t="s">
        <v>22</v>
      </c>
      <c r="B25" s="266">
        <f>SUM(D8:D22)</f>
        <v>0</v>
      </c>
      <c r="C25" s="267"/>
      <c r="D25" s="270"/>
      <c r="E25" s="266">
        <f>SUM(G8:G22)</f>
        <v>0</v>
      </c>
      <c r="F25" s="267"/>
      <c r="G25" s="270"/>
      <c r="H25" s="266">
        <f>SUM(J8:J22)</f>
        <v>0</v>
      </c>
      <c r="I25" s="267"/>
      <c r="J25" s="270"/>
      <c r="K25" s="266">
        <f>SUM(M8:M22)</f>
        <v>0</v>
      </c>
      <c r="L25" s="267"/>
      <c r="M25" s="270"/>
      <c r="N25" s="266">
        <f>SUM(P8:P22)</f>
        <v>0</v>
      </c>
      <c r="O25" s="267"/>
      <c r="P25" s="270"/>
      <c r="Q25" s="36" t="s">
        <v>23</v>
      </c>
      <c r="R25" s="37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10">
        <f>A22+1</f>
        <v>44363</v>
      </c>
      <c r="B26" s="172">
        <v>8</v>
      </c>
      <c r="C26" s="173"/>
      <c r="D26" s="174"/>
      <c r="E26" s="175"/>
      <c r="F26" s="173"/>
      <c r="G26" s="174"/>
      <c r="H26" s="175"/>
      <c r="I26" s="173"/>
      <c r="J26" s="174"/>
      <c r="K26" s="175"/>
      <c r="L26" s="173"/>
      <c r="M26" s="174"/>
      <c r="N26" s="175"/>
      <c r="O26" s="173"/>
      <c r="P26" s="174"/>
      <c r="Q26" s="305"/>
      <c r="R26" s="300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21">
        <f t="shared" ref="A27:A40" si="2">A26+1</f>
        <v>44364</v>
      </c>
      <c r="B27" s="172"/>
      <c r="C27" s="22"/>
      <c r="D27" s="23"/>
      <c r="E27" s="24"/>
      <c r="F27" s="22"/>
      <c r="G27" s="23"/>
      <c r="H27" s="24"/>
      <c r="I27" s="22"/>
      <c r="J27" s="23"/>
      <c r="K27" s="24"/>
      <c r="L27" s="22"/>
      <c r="M27" s="23"/>
      <c r="N27" s="24"/>
      <c r="O27" s="22"/>
      <c r="P27" s="23"/>
      <c r="Q27" s="294"/>
      <c r="R27" s="27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21">
        <f t="shared" si="2"/>
        <v>44365</v>
      </c>
      <c r="B28" s="172">
        <v>8</v>
      </c>
      <c r="C28" s="22"/>
      <c r="D28" s="23"/>
      <c r="E28" s="24"/>
      <c r="F28" s="22"/>
      <c r="G28" s="23"/>
      <c r="H28" s="24"/>
      <c r="I28" s="22"/>
      <c r="J28" s="23"/>
      <c r="K28" s="24"/>
      <c r="L28" s="22"/>
      <c r="M28" s="23"/>
      <c r="N28" s="24"/>
      <c r="O28" s="22"/>
      <c r="P28" s="23"/>
      <c r="Q28" s="295"/>
      <c r="R28" s="27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21">
        <f t="shared" si="2"/>
        <v>44366</v>
      </c>
      <c r="B29" s="172"/>
      <c r="C29" s="22"/>
      <c r="D29" s="23"/>
      <c r="E29" s="24"/>
      <c r="F29" s="22"/>
      <c r="G29" s="23"/>
      <c r="H29" s="24"/>
      <c r="I29" s="22"/>
      <c r="J29" s="23"/>
      <c r="K29" s="24"/>
      <c r="L29" s="22"/>
      <c r="M29" s="23"/>
      <c r="N29" s="24"/>
      <c r="O29" s="22"/>
      <c r="P29" s="23"/>
      <c r="Q29" s="295"/>
      <c r="R29" s="27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21">
        <f t="shared" si="2"/>
        <v>44367</v>
      </c>
      <c r="B30" s="172"/>
      <c r="C30" s="22"/>
      <c r="D30" s="23"/>
      <c r="E30" s="24"/>
      <c r="F30" s="22"/>
      <c r="G30" s="23"/>
      <c r="H30" s="24"/>
      <c r="I30" s="22"/>
      <c r="J30" s="23"/>
      <c r="K30" s="24"/>
      <c r="L30" s="22"/>
      <c r="M30" s="23"/>
      <c r="N30" s="24"/>
      <c r="O30" s="22"/>
      <c r="P30" s="23"/>
      <c r="Q30" s="295"/>
      <c r="R30" s="27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21">
        <f t="shared" si="2"/>
        <v>44368</v>
      </c>
      <c r="B31" s="172">
        <v>8</v>
      </c>
      <c r="C31" s="22"/>
      <c r="D31" s="23"/>
      <c r="E31" s="24"/>
      <c r="F31" s="22"/>
      <c r="G31" s="23"/>
      <c r="H31" s="24"/>
      <c r="I31" s="22"/>
      <c r="J31" s="23"/>
      <c r="K31" s="24"/>
      <c r="L31" s="22"/>
      <c r="M31" s="23"/>
      <c r="N31" s="24"/>
      <c r="O31" s="22"/>
      <c r="P31" s="23"/>
      <c r="Q31" s="306"/>
      <c r="R31" s="27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21">
        <f t="shared" si="2"/>
        <v>44369</v>
      </c>
      <c r="B32" s="172">
        <v>8</v>
      </c>
      <c r="C32" s="22"/>
      <c r="D32" s="23"/>
      <c r="E32" s="24"/>
      <c r="F32" s="22"/>
      <c r="G32" s="23"/>
      <c r="H32" s="24"/>
      <c r="I32" s="22"/>
      <c r="J32" s="23"/>
      <c r="K32" s="24"/>
      <c r="L32" s="22"/>
      <c r="M32" s="23"/>
      <c r="N32" s="24"/>
      <c r="O32" s="22"/>
      <c r="P32" s="23"/>
      <c r="Q32" s="295"/>
      <c r="R32" s="27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21">
        <f t="shared" si="2"/>
        <v>44370</v>
      </c>
      <c r="B33" s="172">
        <v>8</v>
      </c>
      <c r="C33" s="22"/>
      <c r="D33" s="23"/>
      <c r="E33" s="24"/>
      <c r="F33" s="22"/>
      <c r="G33" s="23"/>
      <c r="H33" s="24"/>
      <c r="I33" s="22"/>
      <c r="J33" s="23"/>
      <c r="K33" s="24"/>
      <c r="L33" s="22"/>
      <c r="M33" s="23"/>
      <c r="N33" s="24"/>
      <c r="O33" s="22"/>
      <c r="P33" s="23"/>
      <c r="Q33" s="294"/>
      <c r="R33" s="27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21">
        <f t="shared" si="2"/>
        <v>44371</v>
      </c>
      <c r="B34" s="172">
        <v>8</v>
      </c>
      <c r="C34" s="22"/>
      <c r="D34" s="23"/>
      <c r="E34" s="24"/>
      <c r="F34" s="22"/>
      <c r="G34" s="23"/>
      <c r="H34" s="24"/>
      <c r="I34" s="22"/>
      <c r="J34" s="23"/>
      <c r="K34" s="24"/>
      <c r="L34" s="22"/>
      <c r="M34" s="23"/>
      <c r="N34" s="24"/>
      <c r="O34" s="22"/>
      <c r="P34" s="23"/>
      <c r="Q34" s="295"/>
      <c r="R34" s="27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21">
        <f t="shared" si="2"/>
        <v>44372</v>
      </c>
      <c r="B35" s="172">
        <v>8</v>
      </c>
      <c r="C35" s="22"/>
      <c r="D35" s="23"/>
      <c r="E35" s="24"/>
      <c r="F35" s="22"/>
      <c r="G35" s="23"/>
      <c r="H35" s="24"/>
      <c r="I35" s="22"/>
      <c r="J35" s="23"/>
      <c r="K35" s="24"/>
      <c r="L35" s="22"/>
      <c r="M35" s="23"/>
      <c r="N35" s="24"/>
      <c r="O35" s="22"/>
      <c r="P35" s="23"/>
      <c r="Q35" s="295"/>
      <c r="R35" s="27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21">
        <f t="shared" si="2"/>
        <v>44373</v>
      </c>
      <c r="B36" s="172"/>
      <c r="C36" s="22"/>
      <c r="D36" s="23"/>
      <c r="E36" s="24"/>
      <c r="F36" s="22"/>
      <c r="G36" s="23"/>
      <c r="H36" s="24"/>
      <c r="I36" s="22"/>
      <c r="J36" s="23"/>
      <c r="K36" s="24"/>
      <c r="L36" s="22"/>
      <c r="M36" s="23"/>
      <c r="N36" s="24"/>
      <c r="O36" s="22"/>
      <c r="P36" s="23"/>
      <c r="Q36" s="294"/>
      <c r="R36" s="27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21">
        <f t="shared" si="2"/>
        <v>44374</v>
      </c>
      <c r="B37" s="172"/>
      <c r="C37" s="22"/>
      <c r="D37" s="23"/>
      <c r="E37" s="24"/>
      <c r="F37" s="22"/>
      <c r="G37" s="23"/>
      <c r="H37" s="24"/>
      <c r="I37" s="22"/>
      <c r="J37" s="23"/>
      <c r="K37" s="24"/>
      <c r="L37" s="22"/>
      <c r="M37" s="23"/>
      <c r="N37" s="24"/>
      <c r="O37" s="22"/>
      <c r="P37" s="23"/>
      <c r="Q37" s="295"/>
      <c r="R37" s="27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21">
        <f t="shared" si="2"/>
        <v>44375</v>
      </c>
      <c r="B38" s="172">
        <v>8</v>
      </c>
      <c r="C38" s="22"/>
      <c r="D38" s="23"/>
      <c r="E38" s="24"/>
      <c r="F38" s="22"/>
      <c r="G38" s="23"/>
      <c r="H38" s="24"/>
      <c r="I38" s="22"/>
      <c r="J38" s="23"/>
      <c r="K38" s="24"/>
      <c r="L38" s="22"/>
      <c r="M38" s="23"/>
      <c r="N38" s="24"/>
      <c r="O38" s="22"/>
      <c r="P38" s="23"/>
      <c r="Q38" s="295"/>
      <c r="R38" s="27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21">
        <f t="shared" si="2"/>
        <v>44376</v>
      </c>
      <c r="B39" s="172">
        <v>8</v>
      </c>
      <c r="C39" s="22"/>
      <c r="D39" s="23"/>
      <c r="E39" s="24"/>
      <c r="F39" s="22"/>
      <c r="G39" s="23"/>
      <c r="H39" s="24"/>
      <c r="I39" s="22"/>
      <c r="J39" s="23"/>
      <c r="K39" s="24"/>
      <c r="L39" s="22"/>
      <c r="M39" s="23"/>
      <c r="N39" s="24"/>
      <c r="O39" s="22"/>
      <c r="P39" s="23"/>
      <c r="Q39" s="295"/>
      <c r="R39" s="27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x14ac:dyDescent="0.25">
      <c r="A40" s="21">
        <f t="shared" si="2"/>
        <v>44377</v>
      </c>
      <c r="B40" s="172">
        <v>8</v>
      </c>
      <c r="C40" s="22"/>
      <c r="D40" s="23"/>
      <c r="E40" s="24"/>
      <c r="F40" s="22"/>
      <c r="G40" s="23"/>
      <c r="H40" s="24"/>
      <c r="I40" s="22"/>
      <c r="J40" s="23"/>
      <c r="K40" s="24"/>
      <c r="L40" s="22"/>
      <c r="M40" s="23"/>
      <c r="N40" s="24"/>
      <c r="O40" s="22"/>
      <c r="P40" s="23"/>
      <c r="Q40" s="295"/>
      <c r="R40" s="276"/>
      <c r="S40" s="6"/>
      <c r="T40" s="6"/>
      <c r="U40" s="38"/>
      <c r="V40" s="38"/>
      <c r="W40" s="6"/>
      <c r="X40" s="6"/>
      <c r="Y40" s="6"/>
      <c r="Z40" s="6"/>
      <c r="AA40" s="6"/>
      <c r="AB40" s="6"/>
      <c r="AC40" s="6"/>
    </row>
    <row r="41" spans="1:29" ht="15.75" customHeight="1" x14ac:dyDescent="0.25">
      <c r="A41" s="21"/>
      <c r="B41" s="172"/>
      <c r="C41" s="169"/>
      <c r="D41" s="170"/>
      <c r="E41" s="171"/>
      <c r="F41" s="169"/>
      <c r="G41" s="170"/>
      <c r="H41" s="171"/>
      <c r="I41" s="169"/>
      <c r="J41" s="170"/>
      <c r="K41" s="171"/>
      <c r="L41" s="169"/>
      <c r="M41" s="170"/>
      <c r="N41" s="171"/>
      <c r="O41" s="169"/>
      <c r="P41" s="170"/>
      <c r="Q41" s="307"/>
      <c r="R41" s="308"/>
      <c r="S41" s="6"/>
      <c r="T41" s="6"/>
      <c r="U41" s="38"/>
      <c r="V41" s="38"/>
      <c r="W41" s="6"/>
      <c r="X41" s="6"/>
      <c r="Y41" s="6"/>
      <c r="Z41" s="6"/>
      <c r="AA41" s="6"/>
      <c r="AB41" s="6"/>
      <c r="AC41" s="6"/>
    </row>
    <row r="42" spans="1:29" ht="15.75" customHeight="1" x14ac:dyDescent="0.3">
      <c r="A42" s="39" t="s">
        <v>24</v>
      </c>
      <c r="B42" s="296">
        <f>SUM(B26:B41)</f>
        <v>80</v>
      </c>
      <c r="C42" s="297"/>
      <c r="D42" s="298"/>
      <c r="E42" s="302">
        <f>SUM(E26:E41)</f>
        <v>0</v>
      </c>
      <c r="F42" s="297"/>
      <c r="G42" s="303"/>
      <c r="H42" s="296">
        <f>SUM(H26:H41)</f>
        <v>0</v>
      </c>
      <c r="I42" s="297"/>
      <c r="J42" s="298"/>
      <c r="K42" s="302">
        <f>SUM(K26:K41)</f>
        <v>0</v>
      </c>
      <c r="L42" s="297"/>
      <c r="M42" s="303"/>
      <c r="N42" s="302">
        <f>SUM(N26:N41)</f>
        <v>0</v>
      </c>
      <c r="O42" s="297"/>
      <c r="P42" s="303"/>
      <c r="Q42" s="29" t="s">
        <v>18</v>
      </c>
      <c r="R42" s="40">
        <f t="shared" ref="R42:R44" si="3">SUM(B42:P42)</f>
        <v>80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x14ac:dyDescent="0.3">
      <c r="A43" s="41" t="s">
        <v>25</v>
      </c>
      <c r="B43" s="274">
        <f>SUM(C26:C42)</f>
        <v>0</v>
      </c>
      <c r="C43" s="275"/>
      <c r="D43" s="276"/>
      <c r="E43" s="277">
        <f>SUM(F26:F42)</f>
        <v>0</v>
      </c>
      <c r="F43" s="275"/>
      <c r="G43" s="304"/>
      <c r="H43" s="274">
        <f>SUM(I26:I42)</f>
        <v>0</v>
      </c>
      <c r="I43" s="275"/>
      <c r="J43" s="276"/>
      <c r="K43" s="277">
        <f>SUM(L26:L42)</f>
        <v>0</v>
      </c>
      <c r="L43" s="275"/>
      <c r="M43" s="304"/>
      <c r="N43" s="277">
        <f>SUM(O26:O42)</f>
        <v>0</v>
      </c>
      <c r="O43" s="275"/>
      <c r="P43" s="304"/>
      <c r="Q43" s="33" t="s">
        <v>26</v>
      </c>
      <c r="R43" s="42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15.75" customHeight="1" x14ac:dyDescent="0.3">
      <c r="A44" s="43" t="s">
        <v>27</v>
      </c>
      <c r="B44" s="269">
        <f>SUM(D26:D41)</f>
        <v>0</v>
      </c>
      <c r="C44" s="267"/>
      <c r="D44" s="270"/>
      <c r="E44" s="266">
        <f>SUM(G26:G41)</f>
        <v>0</v>
      </c>
      <c r="F44" s="267"/>
      <c r="G44" s="268"/>
      <c r="H44" s="269">
        <f>SUM(J26:J41)</f>
        <v>0</v>
      </c>
      <c r="I44" s="267"/>
      <c r="J44" s="270"/>
      <c r="K44" s="266">
        <f>SUM(M26:M41)</f>
        <v>0</v>
      </c>
      <c r="L44" s="267"/>
      <c r="M44" s="268"/>
      <c r="N44" s="266">
        <f>SUM(P26:P41)</f>
        <v>0</v>
      </c>
      <c r="O44" s="267"/>
      <c r="P44" s="268"/>
      <c r="Q44" s="36" t="s">
        <v>23</v>
      </c>
      <c r="R44" s="44">
        <f t="shared" si="3"/>
        <v>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6.75" customHeight="1" x14ac:dyDescent="0.3">
      <c r="A45" s="176"/>
      <c r="B45" s="271" t="e">
        <f>IF(ISBLANK(B6),"",B6)</f>
        <v>#REF!</v>
      </c>
      <c r="C45" s="272"/>
      <c r="D45" s="273"/>
      <c r="E45" s="271" t="e">
        <f>IF(ISBLANK(E6),"",E6)</f>
        <v>#REF!</v>
      </c>
      <c r="F45" s="272"/>
      <c r="G45" s="273"/>
      <c r="H45" s="271" t="e">
        <f>IF(ISBLANK(H6),"",H6)</f>
        <v>#REF!</v>
      </c>
      <c r="I45" s="272"/>
      <c r="J45" s="273"/>
      <c r="K45" s="271" t="e">
        <f>IF(ISBLANK(K6),"",K6)</f>
        <v>#REF!</v>
      </c>
      <c r="L45" s="272"/>
      <c r="M45" s="273"/>
      <c r="N45" s="271" t="e">
        <f>IF(ISBLANK(N6),"",N6)</f>
        <v>#REF!</v>
      </c>
      <c r="O45" s="272"/>
      <c r="P45" s="273"/>
      <c r="Q45" s="264"/>
      <c r="R45" s="265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3">
      <c r="A46" s="45" t="s">
        <v>28</v>
      </c>
      <c r="B46" s="296">
        <f t="shared" ref="B46:B48" si="4">B23+B42</f>
        <v>144</v>
      </c>
      <c r="C46" s="297"/>
      <c r="D46" s="298"/>
      <c r="E46" s="299">
        <f t="shared" ref="E46:E48" si="5">E23+E42</f>
        <v>0</v>
      </c>
      <c r="F46" s="279"/>
      <c r="G46" s="300"/>
      <c r="H46" s="299">
        <f t="shared" ref="H46:H48" si="6">H23+H42</f>
        <v>0</v>
      </c>
      <c r="I46" s="279"/>
      <c r="J46" s="300"/>
      <c r="K46" s="299">
        <f t="shared" ref="K46:K48" si="7">K23+K42</f>
        <v>0</v>
      </c>
      <c r="L46" s="279"/>
      <c r="M46" s="300"/>
      <c r="N46" s="299">
        <f t="shared" ref="N46:N48" si="8">N23+N42</f>
        <v>0</v>
      </c>
      <c r="O46" s="279"/>
      <c r="P46" s="300"/>
      <c r="Q46" s="29" t="s">
        <v>18</v>
      </c>
      <c r="R46" s="40">
        <f t="shared" ref="R46:R48" si="9">SUM(B46:P46)</f>
        <v>144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x14ac:dyDescent="0.3">
      <c r="A47" s="32" t="s">
        <v>29</v>
      </c>
      <c r="B47" s="277">
        <f t="shared" si="4"/>
        <v>0</v>
      </c>
      <c r="C47" s="275"/>
      <c r="D47" s="276"/>
      <c r="E47" s="274">
        <f t="shared" si="5"/>
        <v>0</v>
      </c>
      <c r="F47" s="275"/>
      <c r="G47" s="276"/>
      <c r="H47" s="274">
        <f t="shared" si="6"/>
        <v>0</v>
      </c>
      <c r="I47" s="275"/>
      <c r="J47" s="276"/>
      <c r="K47" s="274">
        <f t="shared" si="7"/>
        <v>0</v>
      </c>
      <c r="L47" s="275"/>
      <c r="M47" s="276"/>
      <c r="N47" s="274">
        <f t="shared" si="8"/>
        <v>0</v>
      </c>
      <c r="O47" s="275"/>
      <c r="P47" s="276"/>
      <c r="Q47" s="33" t="s">
        <v>26</v>
      </c>
      <c r="R47" s="42">
        <f t="shared" si="9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15.75" customHeight="1" x14ac:dyDescent="0.3">
      <c r="A48" s="46" t="s">
        <v>30</v>
      </c>
      <c r="B48" s="266">
        <f t="shared" si="4"/>
        <v>0</v>
      </c>
      <c r="C48" s="267"/>
      <c r="D48" s="270"/>
      <c r="E48" s="269">
        <f t="shared" si="5"/>
        <v>0</v>
      </c>
      <c r="F48" s="267"/>
      <c r="G48" s="270"/>
      <c r="H48" s="269">
        <f t="shared" si="6"/>
        <v>0</v>
      </c>
      <c r="I48" s="267"/>
      <c r="J48" s="270"/>
      <c r="K48" s="269">
        <f t="shared" si="7"/>
        <v>0</v>
      </c>
      <c r="L48" s="267"/>
      <c r="M48" s="270"/>
      <c r="N48" s="269">
        <f t="shared" si="8"/>
        <v>0</v>
      </c>
      <c r="O48" s="267"/>
      <c r="P48" s="270"/>
      <c r="Q48" s="36" t="s">
        <v>23</v>
      </c>
      <c r="R48" s="44">
        <f t="shared" si="9"/>
        <v>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7.5" customHeight="1" x14ac:dyDescent="0.3">
      <c r="A49" s="47"/>
      <c r="B49" s="271">
        <f>IF(ISBLANK(B10),"",B10)</f>
        <v>8</v>
      </c>
      <c r="C49" s="272"/>
      <c r="D49" s="273"/>
      <c r="E49" s="271" t="str">
        <f>IF(ISBLANK(E10),"",E10)</f>
        <v/>
      </c>
      <c r="F49" s="272"/>
      <c r="G49" s="273"/>
      <c r="H49" s="271" t="str">
        <f>IF(ISBLANK(H10),"",H10)</f>
        <v/>
      </c>
      <c r="I49" s="272"/>
      <c r="J49" s="273"/>
      <c r="K49" s="271" t="str">
        <f>IF(ISBLANK(K10),"",K10)</f>
        <v/>
      </c>
      <c r="L49" s="272"/>
      <c r="M49" s="273"/>
      <c r="N49" s="271" t="str">
        <f>IF(ISBLANK(N10),"",N10)</f>
        <v/>
      </c>
      <c r="O49" s="272"/>
      <c r="P49" s="273"/>
      <c r="Q49" s="264"/>
      <c r="R49" s="265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x14ac:dyDescent="0.3">
      <c r="A50" s="177" t="s">
        <v>31</v>
      </c>
      <c r="B50" s="290">
        <f>SUM(B46:D48)</f>
        <v>144</v>
      </c>
      <c r="C50" s="272"/>
      <c r="D50" s="273"/>
      <c r="E50" s="291">
        <f>SUM(E46:G48)</f>
        <v>0</v>
      </c>
      <c r="F50" s="284"/>
      <c r="G50" s="285"/>
      <c r="H50" s="291">
        <f>SUM(H46:J48)</f>
        <v>0</v>
      </c>
      <c r="I50" s="284"/>
      <c r="J50" s="285"/>
      <c r="K50" s="291">
        <f>SUM(K46:M48)</f>
        <v>0</v>
      </c>
      <c r="L50" s="284"/>
      <c r="M50" s="285"/>
      <c r="N50" s="291">
        <f>SUM(N46:P48)</f>
        <v>0</v>
      </c>
      <c r="O50" s="284"/>
      <c r="P50" s="285"/>
      <c r="Q50" s="286">
        <f t="shared" ref="Q50:Q51" si="10">SUM(B50:P50)</f>
        <v>144</v>
      </c>
      <c r="R50" s="285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x14ac:dyDescent="0.3">
      <c r="A51" s="48" t="s">
        <v>32</v>
      </c>
      <c r="B51" s="283">
        <f>(B46+B48)/((NETWORKDAYS($P$1,EOMONTH($P$1,0), HO))*8)</f>
        <v>1</v>
      </c>
      <c r="C51" s="284"/>
      <c r="D51" s="285"/>
      <c r="E51" s="283">
        <f>(E46+E48)/((NETWORKDAYS($P$1,EOMONTH($P$1,0), HO))*8)</f>
        <v>0</v>
      </c>
      <c r="F51" s="284"/>
      <c r="G51" s="285"/>
      <c r="H51" s="283">
        <f>(H46+H48)/((NETWORKDAYS($P$1,EOMONTH($P$1,0), HO))*8)</f>
        <v>0</v>
      </c>
      <c r="I51" s="284"/>
      <c r="J51" s="285"/>
      <c r="K51" s="283">
        <f>(K46+K48)/((NETWORKDAYS($P$1,EOMONTH($P$1,0), HO))*8)</f>
        <v>0</v>
      </c>
      <c r="L51" s="284"/>
      <c r="M51" s="285"/>
      <c r="N51" s="283">
        <f>(N46+N48)/((NETWORKDAYS($P$1,EOMONTH($P$1,0), HO))*8)</f>
        <v>0</v>
      </c>
      <c r="O51" s="284"/>
      <c r="P51" s="285"/>
      <c r="Q51" s="283">
        <f t="shared" si="10"/>
        <v>1</v>
      </c>
      <c r="R51" s="285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15.75" customHeight="1" x14ac:dyDescent="0.3">
      <c r="A52" s="48" t="s">
        <v>33</v>
      </c>
      <c r="B52" s="286">
        <f>R46+R48</f>
        <v>144</v>
      </c>
      <c r="C52" s="284"/>
      <c r="D52" s="285"/>
      <c r="E52" s="283" t="s">
        <v>21</v>
      </c>
      <c r="F52" s="284"/>
      <c r="G52" s="285"/>
      <c r="H52" s="286">
        <f>R47</f>
        <v>0</v>
      </c>
      <c r="I52" s="284"/>
      <c r="J52" s="285"/>
      <c r="K52" s="286">
        <f>R47</f>
        <v>0</v>
      </c>
      <c r="L52" s="284"/>
      <c r="M52" s="285"/>
      <c r="N52" s="283" t="s">
        <v>34</v>
      </c>
      <c r="O52" s="284"/>
      <c r="P52" s="285"/>
      <c r="Q52" s="286">
        <f>B52+H52</f>
        <v>144</v>
      </c>
      <c r="R52" s="285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24.75" customHeight="1" x14ac:dyDescent="0.25">
      <c r="A53" s="287" t="s">
        <v>35</v>
      </c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15.75" customHeight="1" x14ac:dyDescent="0.25">
      <c r="A54" s="49" t="s">
        <v>65</v>
      </c>
      <c r="B54" s="289"/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50" t="s">
        <v>37</v>
      </c>
      <c r="P54" s="289"/>
      <c r="Q54" s="272"/>
      <c r="R54" s="272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51"/>
      <c r="B55" s="38"/>
      <c r="C55" s="38"/>
      <c r="D55" s="52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15.75" customHeight="1" x14ac:dyDescent="0.25">
      <c r="A56" s="51"/>
      <c r="B56" s="38"/>
      <c r="C56" s="38"/>
      <c r="D56" s="52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5.75" customHeight="1" x14ac:dyDescent="0.25">
      <c r="A57" s="278" t="s">
        <v>66</v>
      </c>
      <c r="B57" s="279"/>
      <c r="C57" s="280"/>
      <c r="D57" s="279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281" t="s">
        <v>39</v>
      </c>
      <c r="B58" s="275"/>
      <c r="C58" s="282"/>
      <c r="D58" s="275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spans="1:29" ht="15.75" customHeight="1" x14ac:dyDescent="0.25">
      <c r="A257" s="51"/>
      <c r="B257" s="38"/>
      <c r="C257" s="38"/>
      <c r="D257" s="52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spans="1:29" ht="15.75" customHeight="1" x14ac:dyDescent="0.25">
      <c r="A258" s="51"/>
      <c r="B258" s="38"/>
      <c r="C258" s="38"/>
      <c r="D258" s="52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</row>
    <row r="259" spans="1:29" ht="15.75" customHeight="1" x14ac:dyDescent="0.25"/>
    <row r="260" spans="1:29" ht="15.75" customHeight="1" x14ac:dyDescent="0.25"/>
    <row r="261" spans="1:29" ht="15.75" customHeight="1" x14ac:dyDescent="0.25"/>
    <row r="262" spans="1:29" ht="15.75" customHeight="1" x14ac:dyDescent="0.25"/>
    <row r="263" spans="1:29" ht="15.75" customHeight="1" x14ac:dyDescent="0.25"/>
    <row r="264" spans="1:29" ht="15.75" customHeight="1" x14ac:dyDescent="0.25"/>
    <row r="265" spans="1:29" ht="15.75" customHeight="1" x14ac:dyDescent="0.25"/>
    <row r="266" spans="1:29" ht="15.75" customHeight="1" x14ac:dyDescent="0.25"/>
    <row r="267" spans="1:29" ht="15.75" customHeight="1" x14ac:dyDescent="0.25"/>
    <row r="268" spans="1:29" ht="15.75" customHeight="1" x14ac:dyDescent="0.25"/>
    <row r="269" spans="1:29" ht="15.75" customHeight="1" x14ac:dyDescent="0.25"/>
    <row r="270" spans="1:29" ht="15.75" customHeight="1" x14ac:dyDescent="0.25"/>
    <row r="271" spans="1:29" ht="15.75" customHeight="1" x14ac:dyDescent="0.25"/>
    <row r="272" spans="1:2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7">
    <mergeCell ref="A1:B1"/>
    <mergeCell ref="C1:O1"/>
    <mergeCell ref="P1:R1"/>
    <mergeCell ref="A2:B2"/>
    <mergeCell ref="C2:M2"/>
    <mergeCell ref="N2:R2"/>
    <mergeCell ref="C3:R3"/>
    <mergeCell ref="B5:D5"/>
    <mergeCell ref="E5:G5"/>
    <mergeCell ref="H5:J5"/>
    <mergeCell ref="K5:M5"/>
    <mergeCell ref="B4:D4"/>
    <mergeCell ref="Q4:R7"/>
    <mergeCell ref="B6:D6"/>
    <mergeCell ref="E6:G6"/>
    <mergeCell ref="H6:J6"/>
    <mergeCell ref="K6:M6"/>
    <mergeCell ref="N6:P6"/>
    <mergeCell ref="A3:B3"/>
    <mergeCell ref="E4:G4"/>
    <mergeCell ref="H4:J4"/>
    <mergeCell ref="K4:M4"/>
    <mergeCell ref="N4:P4"/>
    <mergeCell ref="N5:P5"/>
    <mergeCell ref="Q8:R8"/>
    <mergeCell ref="Q9:R9"/>
    <mergeCell ref="Q10:R10"/>
    <mergeCell ref="Q11:R11"/>
    <mergeCell ref="Q12:R12"/>
    <mergeCell ref="Q13:R13"/>
    <mergeCell ref="Q14:R14"/>
    <mergeCell ref="E24:G24"/>
    <mergeCell ref="H24:J24"/>
    <mergeCell ref="Q15:R15"/>
    <mergeCell ref="Q16:R16"/>
    <mergeCell ref="Q17:R17"/>
    <mergeCell ref="Q18:R18"/>
    <mergeCell ref="Q19:R19"/>
    <mergeCell ref="Q20:R20"/>
    <mergeCell ref="Q21:R21"/>
    <mergeCell ref="B25:D25"/>
    <mergeCell ref="E25:G25"/>
    <mergeCell ref="H25:J25"/>
    <mergeCell ref="K24:M24"/>
    <mergeCell ref="N24:P24"/>
    <mergeCell ref="K25:M25"/>
    <mergeCell ref="N25:P25"/>
    <mergeCell ref="Q22:R22"/>
    <mergeCell ref="B23:D23"/>
    <mergeCell ref="E23:G23"/>
    <mergeCell ref="H23:J23"/>
    <mergeCell ref="K23:M23"/>
    <mergeCell ref="N23:P23"/>
    <mergeCell ref="B24:D24"/>
    <mergeCell ref="N43:P43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N49:P49"/>
    <mergeCell ref="Q35:R35"/>
    <mergeCell ref="Q36:R36"/>
    <mergeCell ref="Q37:R37"/>
    <mergeCell ref="Q38:R38"/>
    <mergeCell ref="Q39:R39"/>
    <mergeCell ref="B46:D46"/>
    <mergeCell ref="E46:G46"/>
    <mergeCell ref="H46:J46"/>
    <mergeCell ref="K46:M46"/>
    <mergeCell ref="N46:P46"/>
    <mergeCell ref="Q40:R40"/>
    <mergeCell ref="Q41:R41"/>
    <mergeCell ref="B42:D42"/>
    <mergeCell ref="E42:G42"/>
    <mergeCell ref="H42:J42"/>
    <mergeCell ref="K42:M42"/>
    <mergeCell ref="N42:P42"/>
    <mergeCell ref="H44:J44"/>
    <mergeCell ref="K44:M44"/>
    <mergeCell ref="B43:D43"/>
    <mergeCell ref="E43:G43"/>
    <mergeCell ref="H43:J43"/>
    <mergeCell ref="K43:M43"/>
    <mergeCell ref="B50:D50"/>
    <mergeCell ref="E50:G50"/>
    <mergeCell ref="H50:J50"/>
    <mergeCell ref="K50:M50"/>
    <mergeCell ref="N50:P50"/>
    <mergeCell ref="Q50:R50"/>
    <mergeCell ref="B51:D51"/>
    <mergeCell ref="Q51:R51"/>
    <mergeCell ref="B52:D52"/>
    <mergeCell ref="A57:B57"/>
    <mergeCell ref="C57:D57"/>
    <mergeCell ref="A58:B58"/>
    <mergeCell ref="C58:D58"/>
    <mergeCell ref="E51:G51"/>
    <mergeCell ref="H51:J51"/>
    <mergeCell ref="E52:G52"/>
    <mergeCell ref="H52:J52"/>
    <mergeCell ref="A53:R53"/>
    <mergeCell ref="B54:N54"/>
    <mergeCell ref="P54:R54"/>
    <mergeCell ref="K51:M51"/>
    <mergeCell ref="N51:P51"/>
    <mergeCell ref="K52:M52"/>
    <mergeCell ref="N52:P52"/>
    <mergeCell ref="Q52:R52"/>
    <mergeCell ref="Q49:R49"/>
    <mergeCell ref="E44:G44"/>
    <mergeCell ref="N44:P44"/>
    <mergeCell ref="B44:D44"/>
    <mergeCell ref="B45:D45"/>
    <mergeCell ref="E45:G45"/>
    <mergeCell ref="H45:J45"/>
    <mergeCell ref="K45:M45"/>
    <mergeCell ref="N45:P45"/>
    <mergeCell ref="Q45:R45"/>
    <mergeCell ref="E47:G47"/>
    <mergeCell ref="N47:P47"/>
    <mergeCell ref="B47:D47"/>
    <mergeCell ref="B48:D48"/>
    <mergeCell ref="E48:G48"/>
    <mergeCell ref="H48:J48"/>
    <mergeCell ref="K48:M48"/>
    <mergeCell ref="N48:P48"/>
    <mergeCell ref="B49:D49"/>
    <mergeCell ref="H47:J47"/>
    <mergeCell ref="K47:M47"/>
    <mergeCell ref="E49:G49"/>
    <mergeCell ref="H49:J49"/>
    <mergeCell ref="K49:M49"/>
  </mergeCells>
  <conditionalFormatting sqref="B23 K42:N42">
    <cfRule type="cellIs" dxfId="471" priority="4" operator="greaterThan">
      <formula>0</formula>
    </cfRule>
  </conditionalFormatting>
  <conditionalFormatting sqref="B24 K43:N43">
    <cfRule type="cellIs" dxfId="470" priority="1" operator="greaterThan">
      <formula>1</formula>
    </cfRule>
  </conditionalFormatting>
  <conditionalFormatting sqref="B24:B25 K44:N44">
    <cfRule type="cellIs" dxfId="469" priority="3" operator="greaterThan">
      <formula>0</formula>
    </cfRule>
  </conditionalFormatting>
  <conditionalFormatting sqref="B42">
    <cfRule type="cellIs" dxfId="468" priority="17" operator="greaterThan">
      <formula>0</formula>
    </cfRule>
  </conditionalFormatting>
  <conditionalFormatting sqref="B43">
    <cfRule type="cellIs" dxfId="467" priority="14" operator="greaterThan">
      <formula>1</formula>
    </cfRule>
    <cfRule type="cellIs" dxfId="466" priority="74" operator="greaterThan">
      <formula>1</formula>
    </cfRule>
  </conditionalFormatting>
  <conditionalFormatting sqref="B43:B44">
    <cfRule type="cellIs" dxfId="465" priority="16" operator="greaterThan">
      <formula>0</formula>
    </cfRule>
    <cfRule type="cellIs" dxfId="464" priority="76" operator="greaterThan">
      <formula>0</formula>
    </cfRule>
  </conditionalFormatting>
  <conditionalFormatting sqref="B46">
    <cfRule type="cellIs" dxfId="463" priority="11" operator="greaterThan">
      <formula>0</formula>
    </cfRule>
  </conditionalFormatting>
  <conditionalFormatting sqref="B47">
    <cfRule type="cellIs" dxfId="462" priority="8" operator="greaterThan">
      <formula>1</formula>
    </cfRule>
  </conditionalFormatting>
  <conditionalFormatting sqref="B47:B48">
    <cfRule type="cellIs" dxfId="461" priority="10" operator="greaterThan">
      <formula>0</formula>
    </cfRule>
  </conditionalFormatting>
  <conditionalFormatting sqref="B25:D25">
    <cfRule type="cellIs" dxfId="460" priority="49" operator="greaterThan">
      <formula>0</formula>
    </cfRule>
  </conditionalFormatting>
  <conditionalFormatting sqref="B44:D44">
    <cfRule type="cellIs" dxfId="459" priority="79" operator="greaterThan">
      <formula>0</formula>
    </cfRule>
  </conditionalFormatting>
  <conditionalFormatting sqref="B48:M48">
    <cfRule type="cellIs" dxfId="458" priority="116" operator="greaterThan">
      <formula>0</formula>
    </cfRule>
  </conditionalFormatting>
  <conditionalFormatting sqref="B50:M50">
    <cfRule type="cellIs" dxfId="457" priority="13" operator="greaterThan">
      <formula>0</formula>
    </cfRule>
  </conditionalFormatting>
  <conditionalFormatting sqref="B48:P48 R48">
    <cfRule type="cellIs" dxfId="456" priority="7" operator="greaterThan">
      <formula>0</formula>
    </cfRule>
  </conditionalFormatting>
  <conditionalFormatting sqref="E24">
    <cfRule type="cellIs" dxfId="455" priority="50" operator="greaterThan">
      <formula>1</formula>
    </cfRule>
  </conditionalFormatting>
  <conditionalFormatting sqref="E24:E25">
    <cfRule type="cellIs" dxfId="454" priority="52" operator="greaterThan">
      <formula>0</formula>
    </cfRule>
  </conditionalFormatting>
  <conditionalFormatting sqref="E42">
    <cfRule type="cellIs" dxfId="453" priority="22" operator="greaterThan">
      <formula>0</formula>
    </cfRule>
  </conditionalFormatting>
  <conditionalFormatting sqref="E43">
    <cfRule type="cellIs" dxfId="452" priority="19" operator="greaterThan">
      <formula>1</formula>
    </cfRule>
    <cfRule type="cellIs" dxfId="451" priority="85" operator="greaterThan">
      <formula>1</formula>
    </cfRule>
    <cfRule type="cellIs" dxfId="450" priority="80" operator="greaterThan">
      <formula>1</formula>
    </cfRule>
  </conditionalFormatting>
  <conditionalFormatting sqref="E43:E44">
    <cfRule type="cellIs" dxfId="449" priority="21" operator="greaterThan">
      <formula>0</formula>
    </cfRule>
    <cfRule type="cellIs" dxfId="448" priority="82" operator="greaterThan">
      <formula>0</formula>
    </cfRule>
    <cfRule type="cellIs" dxfId="447" priority="87" operator="greaterThan">
      <formula>0</formula>
    </cfRule>
  </conditionalFormatting>
  <conditionalFormatting sqref="E46">
    <cfRule type="cellIs" dxfId="446" priority="37" operator="greaterThan">
      <formula>0</formula>
    </cfRule>
  </conditionalFormatting>
  <conditionalFormatting sqref="E47">
    <cfRule type="cellIs" dxfId="445" priority="34" operator="greaterThan">
      <formula>1</formula>
    </cfRule>
  </conditionalFormatting>
  <conditionalFormatting sqref="E47:E48">
    <cfRule type="cellIs" dxfId="444" priority="36" operator="greaterThan">
      <formula>0</formula>
    </cfRule>
  </conditionalFormatting>
  <conditionalFormatting sqref="E25:G25">
    <cfRule type="cellIs" dxfId="443" priority="55" operator="greaterThan">
      <formula>0</formula>
    </cfRule>
  </conditionalFormatting>
  <conditionalFormatting sqref="E44:G44">
    <cfRule type="cellIs" dxfId="442" priority="90" operator="greaterThan">
      <formula>0</formula>
    </cfRule>
  </conditionalFormatting>
  <conditionalFormatting sqref="E23:H23">
    <cfRule type="cellIs" dxfId="441" priority="53" operator="greaterThan">
      <formula>0</formula>
    </cfRule>
  </conditionalFormatting>
  <conditionalFormatting sqref="E24:M24">
    <cfRule type="cellIs" dxfId="440" priority="69" operator="greaterThan">
      <formula>0</formula>
    </cfRule>
  </conditionalFormatting>
  <conditionalFormatting sqref="E43:M43">
    <cfRule type="cellIs" dxfId="439" priority="113" operator="greaterThan">
      <formula>0</formula>
    </cfRule>
  </conditionalFormatting>
  <conditionalFormatting sqref="H24">
    <cfRule type="cellIs" dxfId="438" priority="56" operator="greaterThan">
      <formula>1</formula>
    </cfRule>
  </conditionalFormatting>
  <conditionalFormatting sqref="H24:H25">
    <cfRule type="cellIs" dxfId="437" priority="58" operator="greaterThan">
      <formula>0</formula>
    </cfRule>
  </conditionalFormatting>
  <conditionalFormatting sqref="H42">
    <cfRule type="cellIs" dxfId="436" priority="27" operator="greaterThan">
      <formula>0</formula>
    </cfRule>
  </conditionalFormatting>
  <conditionalFormatting sqref="H43">
    <cfRule type="cellIs" dxfId="435" priority="24" operator="greaterThan">
      <formula>1</formula>
    </cfRule>
    <cfRule type="cellIs" dxfId="434" priority="96" operator="greaterThan">
      <formula>1</formula>
    </cfRule>
    <cfRule type="cellIs" dxfId="433" priority="91" operator="greaterThan">
      <formula>1</formula>
    </cfRule>
  </conditionalFormatting>
  <conditionalFormatting sqref="H43:H44">
    <cfRule type="cellIs" dxfId="432" priority="26" operator="greaterThan">
      <formula>0</formula>
    </cfRule>
    <cfRule type="cellIs" dxfId="431" priority="93" operator="greaterThan">
      <formula>0</formula>
    </cfRule>
    <cfRule type="cellIs" dxfId="430" priority="98" operator="greaterThan">
      <formula>0</formula>
    </cfRule>
  </conditionalFormatting>
  <conditionalFormatting sqref="H46">
    <cfRule type="cellIs" dxfId="429" priority="42" operator="greaterThan">
      <formula>0</formula>
    </cfRule>
  </conditionalFormatting>
  <conditionalFormatting sqref="H47">
    <cfRule type="cellIs" dxfId="428" priority="39" operator="greaterThan">
      <formula>1</formula>
    </cfRule>
  </conditionalFormatting>
  <conditionalFormatting sqref="H47:H48">
    <cfRule type="cellIs" dxfId="427" priority="41" operator="greaterThan">
      <formula>0</formula>
    </cfRule>
  </conditionalFormatting>
  <conditionalFormatting sqref="H25:J25">
    <cfRule type="cellIs" dxfId="426" priority="61" operator="greaterThan">
      <formula>0</formula>
    </cfRule>
  </conditionalFormatting>
  <conditionalFormatting sqref="H44:J44">
    <cfRule type="cellIs" dxfId="425" priority="101" operator="greaterThan">
      <formula>0</formula>
    </cfRule>
  </conditionalFormatting>
  <conditionalFormatting sqref="K24">
    <cfRule type="cellIs" dxfId="424" priority="63" operator="greaterThan">
      <formula>1</formula>
    </cfRule>
  </conditionalFormatting>
  <conditionalFormatting sqref="K24:K25">
    <cfRule type="cellIs" dxfId="423" priority="65" operator="greaterThan">
      <formula>0</formula>
    </cfRule>
  </conditionalFormatting>
  <conditionalFormatting sqref="K43">
    <cfRule type="cellIs" dxfId="422" priority="102" operator="greaterThan">
      <formula>1</formula>
    </cfRule>
    <cfRule type="cellIs" dxfId="421" priority="107" operator="greaterThan">
      <formula>1</formula>
    </cfRule>
  </conditionalFormatting>
  <conditionalFormatting sqref="K43:K44">
    <cfRule type="cellIs" dxfId="420" priority="104" operator="greaterThan">
      <formula>0</formula>
    </cfRule>
    <cfRule type="cellIs" dxfId="419" priority="109" operator="greaterThan">
      <formula>0</formula>
    </cfRule>
    <cfRule type="cellIs" dxfId="418" priority="31" operator="greaterThan">
      <formula>0</formula>
    </cfRule>
  </conditionalFormatting>
  <conditionalFormatting sqref="K46">
    <cfRule type="cellIs" dxfId="417" priority="47" operator="greaterThan">
      <formula>0</formula>
    </cfRule>
  </conditionalFormatting>
  <conditionalFormatting sqref="K47">
    <cfRule type="cellIs" dxfId="416" priority="44" operator="greaterThan">
      <formula>1</formula>
    </cfRule>
  </conditionalFormatting>
  <conditionalFormatting sqref="K47:K48">
    <cfRule type="cellIs" dxfId="415" priority="46" operator="greaterThan">
      <formula>0</formula>
    </cfRule>
  </conditionalFormatting>
  <conditionalFormatting sqref="K23:M23">
    <cfRule type="cellIs" dxfId="414" priority="66" operator="greaterThan">
      <formula>0</formula>
    </cfRule>
  </conditionalFormatting>
  <conditionalFormatting sqref="K25:M25">
    <cfRule type="cellIs" dxfId="413" priority="68" operator="greaterThan">
      <formula>0</formula>
    </cfRule>
  </conditionalFormatting>
  <conditionalFormatting sqref="K44:M44">
    <cfRule type="cellIs" dxfId="412" priority="112" operator="greaterThan">
      <formula>0</formula>
    </cfRule>
  </conditionalFormatting>
  <conditionalFormatting sqref="K47:M47">
    <cfRule type="cellIs" dxfId="411" priority="117" operator="greaterThan">
      <formula>0</formula>
    </cfRule>
  </conditionalFormatting>
  <conditionalFormatting sqref="K47:P47">
    <cfRule type="cellIs" dxfId="410" priority="6" operator="greaterThan">
      <formula>0</formula>
    </cfRule>
  </conditionalFormatting>
  <pageMargins left="0.25" right="0.25" top="0.75" bottom="0.75" header="0.3" footer="0.3"/>
  <pageSetup scale="75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AC1000"/>
  <sheetViews>
    <sheetView workbookViewId="0">
      <selection activeCell="B12" sqref="B12"/>
    </sheetView>
  </sheetViews>
  <sheetFormatPr defaultColWidth="14.44140625" defaultRowHeight="15" customHeight="1" x14ac:dyDescent="0.25"/>
  <cols>
    <col min="1" max="1" width="20.44140625" customWidth="1"/>
    <col min="2" max="16" width="5.33203125" customWidth="1"/>
    <col min="17" max="17" width="14.6640625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17.399999999999999" x14ac:dyDescent="0.3">
      <c r="A1" s="311" t="s">
        <v>59</v>
      </c>
      <c r="B1" s="272"/>
      <c r="C1" s="312" t="s">
        <v>1</v>
      </c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313">
        <v>44378</v>
      </c>
      <c r="Q1" s="272"/>
      <c r="R1" s="272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314" t="s">
        <v>2</v>
      </c>
      <c r="B2" s="303"/>
      <c r="C2" s="315" t="s">
        <v>67</v>
      </c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316" t="s">
        <v>70</v>
      </c>
      <c r="O2" s="279"/>
      <c r="P2" s="279"/>
      <c r="Q2" s="279"/>
      <c r="R2" s="300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7.399999999999999" x14ac:dyDescent="0.3">
      <c r="A3" s="325" t="s">
        <v>3</v>
      </c>
      <c r="B3" s="268"/>
      <c r="C3" s="317" t="s">
        <v>69</v>
      </c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70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6.5" customHeight="1" x14ac:dyDescent="0.25">
      <c r="A4" s="2" t="s">
        <v>4</v>
      </c>
      <c r="B4" s="320" t="s">
        <v>71</v>
      </c>
      <c r="C4" s="297"/>
      <c r="D4" s="298"/>
      <c r="E4" s="320" t="e">
        <f>#REF!</f>
        <v>#REF!</v>
      </c>
      <c r="F4" s="297"/>
      <c r="G4" s="298"/>
      <c r="H4" s="320" t="e">
        <f>#REF!</f>
        <v>#REF!</v>
      </c>
      <c r="I4" s="297"/>
      <c r="J4" s="298"/>
      <c r="K4" s="320" t="e">
        <f>#REF!</f>
        <v>#REF!</v>
      </c>
      <c r="L4" s="297"/>
      <c r="M4" s="298"/>
      <c r="N4" s="320" t="e">
        <f>#REF!</f>
        <v>#REF!</v>
      </c>
      <c r="O4" s="297"/>
      <c r="P4" s="298"/>
      <c r="Q4" s="321" t="s">
        <v>5</v>
      </c>
      <c r="R4" s="322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4" t="s">
        <v>6</v>
      </c>
      <c r="B5" s="318">
        <v>119886</v>
      </c>
      <c r="C5" s="319"/>
      <c r="D5" s="308"/>
      <c r="E5" s="318" t="e">
        <f>#REF!</f>
        <v>#REF!</v>
      </c>
      <c r="F5" s="319"/>
      <c r="G5" s="308"/>
      <c r="H5" s="318" t="e">
        <f>#REF!</f>
        <v>#REF!</v>
      </c>
      <c r="I5" s="319"/>
      <c r="J5" s="308"/>
      <c r="K5" s="318" t="e">
        <f>#REF!</f>
        <v>#REF!</v>
      </c>
      <c r="L5" s="319"/>
      <c r="M5" s="308"/>
      <c r="N5" s="318" t="e">
        <f>#REF!</f>
        <v>#REF!</v>
      </c>
      <c r="O5" s="319"/>
      <c r="P5" s="308"/>
      <c r="Q5" s="323"/>
      <c r="R5" s="265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x14ac:dyDescent="0.25">
      <c r="A6" s="5" t="s">
        <v>7</v>
      </c>
      <c r="B6" s="318" t="e">
        <f>#REF!</f>
        <v>#REF!</v>
      </c>
      <c r="C6" s="319"/>
      <c r="D6" s="308"/>
      <c r="E6" s="318" t="e">
        <f>#REF!</f>
        <v>#REF!</v>
      </c>
      <c r="F6" s="319"/>
      <c r="G6" s="308"/>
      <c r="H6" s="318" t="e">
        <f>#REF!</f>
        <v>#REF!</v>
      </c>
      <c r="I6" s="319"/>
      <c r="J6" s="308"/>
      <c r="K6" s="318" t="e">
        <f>#REF!</f>
        <v>#REF!</v>
      </c>
      <c r="L6" s="319"/>
      <c r="M6" s="308"/>
      <c r="N6" s="318" t="e">
        <f>#REF!</f>
        <v>#REF!</v>
      </c>
      <c r="O6" s="319"/>
      <c r="P6" s="308"/>
      <c r="Q6" s="323"/>
      <c r="R6" s="265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x14ac:dyDescent="0.25">
      <c r="A7" s="164"/>
      <c r="B7" s="7" t="s">
        <v>8</v>
      </c>
      <c r="C7" s="8" t="s">
        <v>9</v>
      </c>
      <c r="D7" s="9" t="s">
        <v>10</v>
      </c>
      <c r="E7" s="7" t="s">
        <v>8</v>
      </c>
      <c r="F7" s="8" t="s">
        <v>9</v>
      </c>
      <c r="G7" s="9" t="s">
        <v>10</v>
      </c>
      <c r="H7" s="7" t="s">
        <v>8</v>
      </c>
      <c r="I7" s="8" t="s">
        <v>9</v>
      </c>
      <c r="J7" s="9" t="s">
        <v>10</v>
      </c>
      <c r="K7" s="7" t="s">
        <v>8</v>
      </c>
      <c r="L7" s="8" t="s">
        <v>9</v>
      </c>
      <c r="M7" s="9" t="s">
        <v>10</v>
      </c>
      <c r="N7" s="7" t="s">
        <v>8</v>
      </c>
      <c r="O7" s="8" t="s">
        <v>9</v>
      </c>
      <c r="P7" s="9" t="s">
        <v>10</v>
      </c>
      <c r="Q7" s="324"/>
      <c r="R7" s="273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2" x14ac:dyDescent="0.25">
      <c r="A8" s="10">
        <v>44378</v>
      </c>
      <c r="B8" s="165">
        <v>8</v>
      </c>
      <c r="C8" s="166"/>
      <c r="D8" s="167"/>
      <c r="E8" s="168"/>
      <c r="F8" s="166"/>
      <c r="G8" s="167"/>
      <c r="H8" s="168"/>
      <c r="I8" s="166"/>
      <c r="J8" s="167"/>
      <c r="K8" s="168"/>
      <c r="L8" s="166"/>
      <c r="M8" s="167"/>
      <c r="N8" s="168"/>
      <c r="O8" s="166"/>
      <c r="P8" s="167"/>
      <c r="Q8" s="309"/>
      <c r="R8" s="29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2" x14ac:dyDescent="0.25">
      <c r="A9" s="15">
        <f t="shared" ref="A9:A22" si="0">A8+1</f>
        <v>44379</v>
      </c>
      <c r="B9" s="16">
        <v>8</v>
      </c>
      <c r="C9" s="17"/>
      <c r="D9" s="18"/>
      <c r="E9" s="19"/>
      <c r="F9" s="17"/>
      <c r="G9" s="18"/>
      <c r="H9" s="19"/>
      <c r="I9" s="17"/>
      <c r="J9" s="18"/>
      <c r="K9" s="19"/>
      <c r="L9" s="17"/>
      <c r="M9" s="18"/>
      <c r="N9" s="19"/>
      <c r="O9" s="17"/>
      <c r="P9" s="18"/>
      <c r="Q9" s="310"/>
      <c r="R9" s="276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3.2" x14ac:dyDescent="0.25">
      <c r="A10" s="21">
        <f t="shared" si="0"/>
        <v>44380</v>
      </c>
      <c r="B10" s="165"/>
      <c r="C10" s="22"/>
      <c r="D10" s="23"/>
      <c r="E10" s="24"/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  <c r="Q10" s="295"/>
      <c r="R10" s="27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2" x14ac:dyDescent="0.25">
      <c r="A11" s="21">
        <f t="shared" si="0"/>
        <v>44381</v>
      </c>
      <c r="B11" s="79"/>
      <c r="C11" s="76"/>
      <c r="D11" s="77"/>
      <c r="E11" s="78"/>
      <c r="F11" s="76"/>
      <c r="G11" s="77"/>
      <c r="H11" s="78"/>
      <c r="I11" s="76"/>
      <c r="J11" s="77"/>
      <c r="K11" s="78"/>
      <c r="L11" s="76"/>
      <c r="M11" s="77"/>
      <c r="N11" s="78"/>
      <c r="O11" s="76"/>
      <c r="P11" s="77"/>
      <c r="Q11" s="301" t="s">
        <v>72</v>
      </c>
      <c r="R11" s="27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2" x14ac:dyDescent="0.25">
      <c r="A12" s="21">
        <f t="shared" si="0"/>
        <v>44382</v>
      </c>
      <c r="B12" s="165"/>
      <c r="C12" s="22"/>
      <c r="D12" s="23"/>
      <c r="E12" s="24"/>
      <c r="F12" s="22"/>
      <c r="G12" s="23"/>
      <c r="H12" s="24"/>
      <c r="I12" s="22"/>
      <c r="J12" s="23"/>
      <c r="K12" s="24"/>
      <c r="L12" s="22"/>
      <c r="M12" s="23"/>
      <c r="N12" s="24"/>
      <c r="O12" s="22"/>
      <c r="P12" s="23"/>
      <c r="Q12" s="295"/>
      <c r="R12" s="27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2" x14ac:dyDescent="0.25">
      <c r="A13" s="21">
        <f t="shared" si="0"/>
        <v>44383</v>
      </c>
      <c r="B13" s="165">
        <v>8</v>
      </c>
      <c r="C13" s="22"/>
      <c r="D13" s="23"/>
      <c r="E13" s="24"/>
      <c r="F13" s="22"/>
      <c r="G13" s="23"/>
      <c r="H13" s="24"/>
      <c r="I13" s="22"/>
      <c r="J13" s="23"/>
      <c r="K13" s="24"/>
      <c r="L13" s="22"/>
      <c r="M13" s="23"/>
      <c r="N13" s="24"/>
      <c r="O13" s="22"/>
      <c r="P13" s="23"/>
      <c r="Q13" s="295"/>
      <c r="R13" s="27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2" x14ac:dyDescent="0.25">
      <c r="A14" s="21">
        <f t="shared" si="0"/>
        <v>44384</v>
      </c>
      <c r="B14" s="165">
        <v>8</v>
      </c>
      <c r="C14" s="22"/>
      <c r="D14" s="23"/>
      <c r="E14" s="24"/>
      <c r="F14" s="22"/>
      <c r="G14" s="23"/>
      <c r="H14" s="24"/>
      <c r="I14" s="22"/>
      <c r="J14" s="23"/>
      <c r="K14" s="24"/>
      <c r="L14" s="22"/>
      <c r="M14" s="23"/>
      <c r="N14" s="24"/>
      <c r="O14" s="22"/>
      <c r="P14" s="23"/>
      <c r="Q14" s="295"/>
      <c r="R14" s="27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2" x14ac:dyDescent="0.25">
      <c r="A15" s="21">
        <f t="shared" si="0"/>
        <v>44385</v>
      </c>
      <c r="B15" s="165">
        <v>8</v>
      </c>
      <c r="C15" s="22"/>
      <c r="D15" s="23"/>
      <c r="E15" s="24"/>
      <c r="F15" s="22"/>
      <c r="G15" s="23"/>
      <c r="H15" s="24"/>
      <c r="I15" s="22"/>
      <c r="J15" s="23"/>
      <c r="K15" s="24"/>
      <c r="L15" s="22"/>
      <c r="M15" s="23"/>
      <c r="N15" s="24"/>
      <c r="O15" s="22"/>
      <c r="P15" s="23"/>
      <c r="Q15" s="294"/>
      <c r="R15" s="27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2" x14ac:dyDescent="0.25">
      <c r="A16" s="21">
        <f t="shared" si="0"/>
        <v>44386</v>
      </c>
      <c r="B16" s="165">
        <v>8</v>
      </c>
      <c r="C16" s="22"/>
      <c r="D16" s="23"/>
      <c r="E16" s="24"/>
      <c r="F16" s="22"/>
      <c r="G16" s="23"/>
      <c r="H16" s="24"/>
      <c r="I16" s="22"/>
      <c r="J16" s="23"/>
      <c r="K16" s="24"/>
      <c r="L16" s="22"/>
      <c r="M16" s="23"/>
      <c r="N16" s="24"/>
      <c r="O16" s="22"/>
      <c r="P16" s="23"/>
      <c r="Q16" s="295"/>
      <c r="R16" s="27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3.8" x14ac:dyDescent="0.3">
      <c r="A17" s="21">
        <f t="shared" si="0"/>
        <v>44387</v>
      </c>
      <c r="B17" s="165"/>
      <c r="C17" s="22"/>
      <c r="D17" s="23"/>
      <c r="E17" s="24"/>
      <c r="F17" s="22"/>
      <c r="G17" s="23"/>
      <c r="H17" s="24"/>
      <c r="I17" s="22"/>
      <c r="J17" s="23"/>
      <c r="K17" s="24"/>
      <c r="L17" s="22"/>
      <c r="M17" s="23"/>
      <c r="N17" s="24"/>
      <c r="O17" s="22"/>
      <c r="P17" s="23"/>
      <c r="Q17" s="295"/>
      <c r="R17" s="276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3.8" x14ac:dyDescent="0.3">
      <c r="A18" s="21">
        <f t="shared" si="0"/>
        <v>44388</v>
      </c>
      <c r="B18" s="165"/>
      <c r="C18" s="22"/>
      <c r="D18" s="23"/>
      <c r="E18" s="24"/>
      <c r="F18" s="22"/>
      <c r="G18" s="23"/>
      <c r="H18" s="24"/>
      <c r="I18" s="22"/>
      <c r="J18" s="23"/>
      <c r="K18" s="24"/>
      <c r="L18" s="22"/>
      <c r="M18" s="23"/>
      <c r="N18" s="24"/>
      <c r="O18" s="22"/>
      <c r="P18" s="23"/>
      <c r="Q18" s="294"/>
      <c r="R18" s="276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3.8" x14ac:dyDescent="0.3">
      <c r="A19" s="21">
        <f t="shared" si="0"/>
        <v>44389</v>
      </c>
      <c r="B19" s="165">
        <v>8</v>
      </c>
      <c r="C19" s="22"/>
      <c r="D19" s="23"/>
      <c r="E19" s="24"/>
      <c r="F19" s="22"/>
      <c r="G19" s="23"/>
      <c r="H19" s="24"/>
      <c r="I19" s="22"/>
      <c r="J19" s="23"/>
      <c r="K19" s="24"/>
      <c r="L19" s="22"/>
      <c r="M19" s="23"/>
      <c r="N19" s="24"/>
      <c r="O19" s="22"/>
      <c r="P19" s="23"/>
      <c r="Q19" s="295"/>
      <c r="R19" s="276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3.8" x14ac:dyDescent="0.3">
      <c r="A20" s="21">
        <f t="shared" si="0"/>
        <v>44390</v>
      </c>
      <c r="B20" s="165">
        <v>8</v>
      </c>
      <c r="C20" s="22"/>
      <c r="D20" s="23"/>
      <c r="E20" s="24"/>
      <c r="F20" s="22"/>
      <c r="G20" s="23"/>
      <c r="H20" s="24"/>
      <c r="I20" s="22"/>
      <c r="J20" s="23"/>
      <c r="K20" s="24"/>
      <c r="L20" s="22"/>
      <c r="M20" s="23"/>
      <c r="N20" s="24"/>
      <c r="O20" s="22"/>
      <c r="P20" s="23"/>
      <c r="Q20" s="295"/>
      <c r="R20" s="276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21">
        <f t="shared" si="0"/>
        <v>44391</v>
      </c>
      <c r="B21" s="165">
        <v>8</v>
      </c>
      <c r="C21" s="22"/>
      <c r="D21" s="23"/>
      <c r="E21" s="24"/>
      <c r="F21" s="22"/>
      <c r="G21" s="23"/>
      <c r="H21" s="24"/>
      <c r="I21" s="22"/>
      <c r="J21" s="23"/>
      <c r="K21" s="24"/>
      <c r="L21" s="22"/>
      <c r="M21" s="23"/>
      <c r="N21" s="24"/>
      <c r="O21" s="22"/>
      <c r="P21" s="23"/>
      <c r="Q21" s="295"/>
      <c r="R21" s="276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x14ac:dyDescent="0.3">
      <c r="A22" s="26">
        <f t="shared" si="0"/>
        <v>44392</v>
      </c>
      <c r="B22" s="165">
        <v>8</v>
      </c>
      <c r="C22" s="169"/>
      <c r="D22" s="170"/>
      <c r="E22" s="171"/>
      <c r="F22" s="169"/>
      <c r="G22" s="170"/>
      <c r="H22" s="171"/>
      <c r="I22" s="169"/>
      <c r="J22" s="170"/>
      <c r="K22" s="171"/>
      <c r="L22" s="169"/>
      <c r="M22" s="170"/>
      <c r="N22" s="171"/>
      <c r="O22" s="169"/>
      <c r="P22" s="170"/>
      <c r="Q22" s="307"/>
      <c r="R22" s="308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28" t="s">
        <v>17</v>
      </c>
      <c r="B23" s="302">
        <v>88</v>
      </c>
      <c r="C23" s="297"/>
      <c r="D23" s="298"/>
      <c r="E23" s="302">
        <f>SUM(E8:E22)</f>
        <v>0</v>
      </c>
      <c r="F23" s="297"/>
      <c r="G23" s="298"/>
      <c r="H23" s="302">
        <f>SUM(H8:H22)</f>
        <v>0</v>
      </c>
      <c r="I23" s="297"/>
      <c r="J23" s="298"/>
      <c r="K23" s="302">
        <f>SUM(K8:K22)</f>
        <v>0</v>
      </c>
      <c r="L23" s="297"/>
      <c r="M23" s="298"/>
      <c r="N23" s="302">
        <f>SUM(N8:N22)</f>
        <v>0</v>
      </c>
      <c r="O23" s="297"/>
      <c r="P23" s="298"/>
      <c r="Q23" s="29" t="s">
        <v>18</v>
      </c>
      <c r="R23" s="30">
        <f t="shared" ref="R23:R25" si="1">SUM(B23:P23)</f>
        <v>88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3">
      <c r="A24" s="32" t="s">
        <v>20</v>
      </c>
      <c r="B24" s="277">
        <f>SUM(C8:C23)</f>
        <v>0</v>
      </c>
      <c r="C24" s="275"/>
      <c r="D24" s="276"/>
      <c r="E24" s="277">
        <f>SUM(F8:F23)</f>
        <v>0</v>
      </c>
      <c r="F24" s="275"/>
      <c r="G24" s="276"/>
      <c r="H24" s="277">
        <f>SUM(I8:I23)</f>
        <v>0</v>
      </c>
      <c r="I24" s="275"/>
      <c r="J24" s="276"/>
      <c r="K24" s="277">
        <f>SUM(L8:L23)</f>
        <v>0</v>
      </c>
      <c r="L24" s="275"/>
      <c r="M24" s="276"/>
      <c r="N24" s="277">
        <f>SUM(O8:O23)</f>
        <v>0</v>
      </c>
      <c r="O24" s="275"/>
      <c r="P24" s="276"/>
      <c r="Q24" s="33" t="s">
        <v>21</v>
      </c>
      <c r="R24" s="34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x14ac:dyDescent="0.3">
      <c r="A25" s="35" t="s">
        <v>22</v>
      </c>
      <c r="B25" s="266">
        <f>SUM(D8:D22)</f>
        <v>0</v>
      </c>
      <c r="C25" s="267"/>
      <c r="D25" s="270"/>
      <c r="E25" s="266">
        <f>SUM(G8:G22)</f>
        <v>0</v>
      </c>
      <c r="F25" s="267"/>
      <c r="G25" s="270"/>
      <c r="H25" s="266">
        <f>SUM(J8:J22)</f>
        <v>0</v>
      </c>
      <c r="I25" s="267"/>
      <c r="J25" s="270"/>
      <c r="K25" s="266">
        <f>SUM(M8:M22)</f>
        <v>0</v>
      </c>
      <c r="L25" s="267"/>
      <c r="M25" s="270"/>
      <c r="N25" s="266">
        <f>SUM(P8:P22)</f>
        <v>0</v>
      </c>
      <c r="O25" s="267"/>
      <c r="P25" s="270"/>
      <c r="Q25" s="36" t="s">
        <v>23</v>
      </c>
      <c r="R25" s="37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10">
        <f>A22+1</f>
        <v>44393</v>
      </c>
      <c r="B26" s="172">
        <v>8</v>
      </c>
      <c r="C26" s="173"/>
      <c r="D26" s="174"/>
      <c r="E26" s="175"/>
      <c r="F26" s="173"/>
      <c r="G26" s="174"/>
      <c r="H26" s="175"/>
      <c r="I26" s="173"/>
      <c r="J26" s="174"/>
      <c r="K26" s="175"/>
      <c r="L26" s="173"/>
      <c r="M26" s="174"/>
      <c r="N26" s="175"/>
      <c r="O26" s="173"/>
      <c r="P26" s="174"/>
      <c r="Q26" s="305"/>
      <c r="R26" s="300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21">
        <f t="shared" ref="A27:A41" si="2">A26+1</f>
        <v>44394</v>
      </c>
      <c r="B27" s="172"/>
      <c r="C27" s="22"/>
      <c r="D27" s="23"/>
      <c r="E27" s="24"/>
      <c r="F27" s="22"/>
      <c r="G27" s="23"/>
      <c r="H27" s="24"/>
      <c r="I27" s="22"/>
      <c r="J27" s="23"/>
      <c r="K27" s="24"/>
      <c r="L27" s="22"/>
      <c r="M27" s="23"/>
      <c r="N27" s="24"/>
      <c r="O27" s="22"/>
      <c r="P27" s="23"/>
      <c r="Q27" s="294"/>
      <c r="R27" s="27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21">
        <f t="shared" si="2"/>
        <v>44395</v>
      </c>
      <c r="B28" s="172"/>
      <c r="C28" s="22"/>
      <c r="D28" s="23"/>
      <c r="E28" s="24"/>
      <c r="F28" s="22"/>
      <c r="G28" s="23"/>
      <c r="H28" s="24"/>
      <c r="I28" s="22"/>
      <c r="J28" s="23"/>
      <c r="K28" s="24"/>
      <c r="L28" s="22"/>
      <c r="M28" s="23"/>
      <c r="N28" s="24"/>
      <c r="O28" s="22"/>
      <c r="P28" s="23"/>
      <c r="Q28" s="295"/>
      <c r="R28" s="27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21">
        <f t="shared" si="2"/>
        <v>44396</v>
      </c>
      <c r="B29" s="172"/>
      <c r="C29" s="22"/>
      <c r="D29" s="23"/>
      <c r="E29" s="24"/>
      <c r="F29" s="22"/>
      <c r="G29" s="23"/>
      <c r="H29" s="24"/>
      <c r="I29" s="22"/>
      <c r="J29" s="23"/>
      <c r="K29" s="24"/>
      <c r="L29" s="22"/>
      <c r="M29" s="23"/>
      <c r="N29" s="24"/>
      <c r="O29" s="22"/>
      <c r="P29" s="23"/>
      <c r="Q29" s="295"/>
      <c r="R29" s="27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21">
        <f t="shared" si="2"/>
        <v>44397</v>
      </c>
      <c r="B30" s="172">
        <v>8</v>
      </c>
      <c r="C30" s="22"/>
      <c r="D30" s="23"/>
      <c r="E30" s="24"/>
      <c r="F30" s="22"/>
      <c r="G30" s="23"/>
      <c r="H30" s="24"/>
      <c r="I30" s="22"/>
      <c r="J30" s="23"/>
      <c r="K30" s="24"/>
      <c r="L30" s="22"/>
      <c r="M30" s="23"/>
      <c r="N30" s="24"/>
      <c r="O30" s="22"/>
      <c r="P30" s="23"/>
      <c r="Q30" s="295"/>
      <c r="R30" s="27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21">
        <f t="shared" si="2"/>
        <v>44398</v>
      </c>
      <c r="B31" s="172">
        <v>8</v>
      </c>
      <c r="C31" s="22"/>
      <c r="D31" s="23"/>
      <c r="E31" s="24"/>
      <c r="F31" s="22"/>
      <c r="G31" s="23"/>
      <c r="H31" s="24"/>
      <c r="I31" s="22"/>
      <c r="J31" s="23"/>
      <c r="K31" s="24"/>
      <c r="L31" s="22"/>
      <c r="M31" s="23"/>
      <c r="N31" s="24"/>
      <c r="O31" s="22"/>
      <c r="P31" s="23"/>
      <c r="Q31" s="306"/>
      <c r="R31" s="27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21">
        <f t="shared" si="2"/>
        <v>44399</v>
      </c>
      <c r="B32" s="172">
        <v>8</v>
      </c>
      <c r="C32" s="22"/>
      <c r="D32" s="23"/>
      <c r="E32" s="24"/>
      <c r="F32" s="22"/>
      <c r="G32" s="23"/>
      <c r="H32" s="24"/>
      <c r="I32" s="22"/>
      <c r="J32" s="23"/>
      <c r="K32" s="24"/>
      <c r="L32" s="22"/>
      <c r="M32" s="23"/>
      <c r="N32" s="24"/>
      <c r="O32" s="22"/>
      <c r="P32" s="23"/>
      <c r="Q32" s="295"/>
      <c r="R32" s="27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21">
        <f t="shared" si="2"/>
        <v>44400</v>
      </c>
      <c r="B33" s="172">
        <v>8</v>
      </c>
      <c r="C33" s="22"/>
      <c r="D33" s="23"/>
      <c r="E33" s="24"/>
      <c r="F33" s="22"/>
      <c r="G33" s="23"/>
      <c r="H33" s="24"/>
      <c r="I33" s="22"/>
      <c r="J33" s="23"/>
      <c r="K33" s="24"/>
      <c r="L33" s="22"/>
      <c r="M33" s="23"/>
      <c r="N33" s="24"/>
      <c r="O33" s="22"/>
      <c r="P33" s="23"/>
      <c r="Q33" s="294"/>
      <c r="R33" s="27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21">
        <f t="shared" si="2"/>
        <v>44401</v>
      </c>
      <c r="B34" s="172"/>
      <c r="C34" s="22"/>
      <c r="D34" s="23"/>
      <c r="E34" s="24"/>
      <c r="F34" s="22"/>
      <c r="G34" s="23"/>
      <c r="H34" s="24"/>
      <c r="I34" s="22"/>
      <c r="J34" s="23"/>
      <c r="K34" s="24"/>
      <c r="L34" s="22"/>
      <c r="M34" s="23"/>
      <c r="N34" s="24"/>
      <c r="O34" s="22"/>
      <c r="P34" s="23"/>
      <c r="Q34" s="295"/>
      <c r="R34" s="27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21">
        <f t="shared" si="2"/>
        <v>44402</v>
      </c>
      <c r="B35" s="172"/>
      <c r="C35" s="22"/>
      <c r="D35" s="23"/>
      <c r="E35" s="24"/>
      <c r="F35" s="22"/>
      <c r="G35" s="23"/>
      <c r="H35" s="24"/>
      <c r="I35" s="22"/>
      <c r="J35" s="23"/>
      <c r="K35" s="24"/>
      <c r="L35" s="22"/>
      <c r="M35" s="23"/>
      <c r="N35" s="24"/>
      <c r="O35" s="22"/>
      <c r="P35" s="23"/>
      <c r="Q35" s="295"/>
      <c r="R35" s="27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21">
        <f t="shared" si="2"/>
        <v>44403</v>
      </c>
      <c r="B36" s="172"/>
      <c r="C36" s="22"/>
      <c r="D36" s="23"/>
      <c r="E36" s="24"/>
      <c r="F36" s="22"/>
      <c r="G36" s="23"/>
      <c r="H36" s="24"/>
      <c r="I36" s="22"/>
      <c r="J36" s="23"/>
      <c r="K36" s="24"/>
      <c r="L36" s="22"/>
      <c r="M36" s="23"/>
      <c r="N36" s="24"/>
      <c r="O36" s="22"/>
      <c r="P36" s="23"/>
      <c r="Q36" s="294"/>
      <c r="R36" s="27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21">
        <f t="shared" si="2"/>
        <v>44404</v>
      </c>
      <c r="B37" s="172">
        <v>8</v>
      </c>
      <c r="C37" s="22"/>
      <c r="D37" s="23"/>
      <c r="E37" s="24"/>
      <c r="F37" s="22"/>
      <c r="G37" s="23"/>
      <c r="H37" s="24"/>
      <c r="I37" s="22"/>
      <c r="J37" s="23"/>
      <c r="K37" s="24"/>
      <c r="L37" s="22"/>
      <c r="M37" s="23"/>
      <c r="N37" s="24"/>
      <c r="O37" s="22"/>
      <c r="P37" s="23"/>
      <c r="Q37" s="295"/>
      <c r="R37" s="27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21">
        <f t="shared" si="2"/>
        <v>44405</v>
      </c>
      <c r="B38" s="172">
        <v>8</v>
      </c>
      <c r="C38" s="22"/>
      <c r="D38" s="23"/>
      <c r="E38" s="24"/>
      <c r="F38" s="22"/>
      <c r="G38" s="23"/>
      <c r="H38" s="24"/>
      <c r="I38" s="22"/>
      <c r="J38" s="23"/>
      <c r="K38" s="24"/>
      <c r="L38" s="22"/>
      <c r="M38" s="23"/>
      <c r="N38" s="24"/>
      <c r="O38" s="22"/>
      <c r="P38" s="23"/>
      <c r="Q38" s="295"/>
      <c r="R38" s="27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21">
        <f t="shared" si="2"/>
        <v>44406</v>
      </c>
      <c r="B39" s="172">
        <v>8</v>
      </c>
      <c r="C39" s="22"/>
      <c r="D39" s="23"/>
      <c r="E39" s="24"/>
      <c r="F39" s="22"/>
      <c r="G39" s="23"/>
      <c r="H39" s="24"/>
      <c r="I39" s="22"/>
      <c r="J39" s="23"/>
      <c r="K39" s="24"/>
      <c r="L39" s="22"/>
      <c r="M39" s="23"/>
      <c r="N39" s="24"/>
      <c r="O39" s="22"/>
      <c r="P39" s="23"/>
      <c r="Q39" s="295"/>
      <c r="R39" s="27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x14ac:dyDescent="0.25">
      <c r="A40" s="21">
        <f t="shared" si="2"/>
        <v>44407</v>
      </c>
      <c r="B40" s="172">
        <v>8</v>
      </c>
      <c r="C40" s="22"/>
      <c r="D40" s="23"/>
      <c r="E40" s="24"/>
      <c r="F40" s="22"/>
      <c r="G40" s="23"/>
      <c r="H40" s="24"/>
      <c r="I40" s="22"/>
      <c r="J40" s="23"/>
      <c r="K40" s="24"/>
      <c r="L40" s="22"/>
      <c r="M40" s="23"/>
      <c r="N40" s="24"/>
      <c r="O40" s="22"/>
      <c r="P40" s="23"/>
      <c r="Q40" s="295"/>
      <c r="R40" s="276"/>
      <c r="S40" s="6"/>
      <c r="T40" s="6"/>
      <c r="U40" s="38"/>
      <c r="V40" s="38"/>
      <c r="W40" s="6"/>
      <c r="X40" s="6"/>
      <c r="Y40" s="6"/>
      <c r="Z40" s="6"/>
      <c r="AA40" s="6"/>
      <c r="AB40" s="6"/>
      <c r="AC40" s="6"/>
    </row>
    <row r="41" spans="1:29" ht="15.75" customHeight="1" x14ac:dyDescent="0.25">
      <c r="A41" s="21">
        <f t="shared" si="2"/>
        <v>44408</v>
      </c>
      <c r="B41" s="172"/>
      <c r="C41" s="169"/>
      <c r="D41" s="170"/>
      <c r="E41" s="171"/>
      <c r="F41" s="169"/>
      <c r="G41" s="170"/>
      <c r="H41" s="171"/>
      <c r="I41" s="169"/>
      <c r="J41" s="170"/>
      <c r="K41" s="171"/>
      <c r="L41" s="169"/>
      <c r="M41" s="170"/>
      <c r="N41" s="171"/>
      <c r="O41" s="169"/>
      <c r="P41" s="170"/>
      <c r="Q41" s="307"/>
      <c r="R41" s="308"/>
      <c r="S41" s="6"/>
      <c r="T41" s="6"/>
      <c r="U41" s="38"/>
      <c r="V41" s="38"/>
      <c r="W41" s="6"/>
      <c r="X41" s="6"/>
      <c r="Y41" s="6"/>
      <c r="Z41" s="6"/>
      <c r="AA41" s="6"/>
      <c r="AB41" s="6"/>
      <c r="AC41" s="6"/>
    </row>
    <row r="42" spans="1:29" ht="15.75" customHeight="1" x14ac:dyDescent="0.3">
      <c r="A42" s="39" t="s">
        <v>24</v>
      </c>
      <c r="B42" s="296">
        <f>SUM(B26:B41)</f>
        <v>72</v>
      </c>
      <c r="C42" s="297"/>
      <c r="D42" s="298"/>
      <c r="E42" s="302">
        <f>SUM(E26:E41)</f>
        <v>0</v>
      </c>
      <c r="F42" s="297"/>
      <c r="G42" s="303"/>
      <c r="H42" s="296">
        <f>SUM(H26:H41)</f>
        <v>0</v>
      </c>
      <c r="I42" s="297"/>
      <c r="J42" s="298"/>
      <c r="K42" s="302">
        <f>SUM(K26:K41)</f>
        <v>0</v>
      </c>
      <c r="L42" s="297"/>
      <c r="M42" s="303"/>
      <c r="N42" s="302">
        <f>SUM(N26:N41)</f>
        <v>0</v>
      </c>
      <c r="O42" s="297"/>
      <c r="P42" s="303"/>
      <c r="Q42" s="29" t="s">
        <v>18</v>
      </c>
      <c r="R42" s="40">
        <f t="shared" ref="R42:R44" si="3">SUM(B42:P42)</f>
        <v>72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x14ac:dyDescent="0.3">
      <c r="A43" s="41" t="s">
        <v>25</v>
      </c>
      <c r="B43" s="274">
        <f>SUM(C26:C42)</f>
        <v>0</v>
      </c>
      <c r="C43" s="275"/>
      <c r="D43" s="276"/>
      <c r="E43" s="277">
        <f>SUM(F26:F42)</f>
        <v>0</v>
      </c>
      <c r="F43" s="275"/>
      <c r="G43" s="304"/>
      <c r="H43" s="274">
        <f>SUM(I26:I42)</f>
        <v>0</v>
      </c>
      <c r="I43" s="275"/>
      <c r="J43" s="276"/>
      <c r="K43" s="277">
        <f>SUM(L26:L42)</f>
        <v>0</v>
      </c>
      <c r="L43" s="275"/>
      <c r="M43" s="304"/>
      <c r="N43" s="277">
        <f>SUM(O26:O42)</f>
        <v>0</v>
      </c>
      <c r="O43" s="275"/>
      <c r="P43" s="304"/>
      <c r="Q43" s="33" t="s">
        <v>26</v>
      </c>
      <c r="R43" s="42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15.75" customHeight="1" x14ac:dyDescent="0.3">
      <c r="A44" s="43" t="s">
        <v>27</v>
      </c>
      <c r="B44" s="269">
        <f>SUM(D26:D41)</f>
        <v>0</v>
      </c>
      <c r="C44" s="267"/>
      <c r="D44" s="270"/>
      <c r="E44" s="266">
        <f>SUM(G26:G41)</f>
        <v>0</v>
      </c>
      <c r="F44" s="267"/>
      <c r="G44" s="268"/>
      <c r="H44" s="269">
        <f>SUM(J26:J41)</f>
        <v>0</v>
      </c>
      <c r="I44" s="267"/>
      <c r="J44" s="270"/>
      <c r="K44" s="266">
        <f>SUM(M26:M41)</f>
        <v>0</v>
      </c>
      <c r="L44" s="267"/>
      <c r="M44" s="268"/>
      <c r="N44" s="266">
        <f>SUM(P26:P41)</f>
        <v>0</v>
      </c>
      <c r="O44" s="267"/>
      <c r="P44" s="268"/>
      <c r="Q44" s="36" t="s">
        <v>23</v>
      </c>
      <c r="R44" s="44">
        <f t="shared" si="3"/>
        <v>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6.75" customHeight="1" x14ac:dyDescent="0.3">
      <c r="A45" s="176"/>
      <c r="B45" s="271" t="e">
        <f>IF(ISBLANK(B6),"",B6)</f>
        <v>#REF!</v>
      </c>
      <c r="C45" s="272"/>
      <c r="D45" s="273"/>
      <c r="E45" s="271" t="e">
        <f>IF(ISBLANK(E6),"",E6)</f>
        <v>#REF!</v>
      </c>
      <c r="F45" s="272"/>
      <c r="G45" s="273"/>
      <c r="H45" s="271" t="e">
        <f>IF(ISBLANK(H6),"",H6)</f>
        <v>#REF!</v>
      </c>
      <c r="I45" s="272"/>
      <c r="J45" s="273"/>
      <c r="K45" s="271" t="e">
        <f>IF(ISBLANK(K6),"",K6)</f>
        <v>#REF!</v>
      </c>
      <c r="L45" s="272"/>
      <c r="M45" s="273"/>
      <c r="N45" s="271" t="e">
        <f>IF(ISBLANK(N6),"",N6)</f>
        <v>#REF!</v>
      </c>
      <c r="O45" s="272"/>
      <c r="P45" s="273"/>
      <c r="Q45" s="264"/>
      <c r="R45" s="265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3">
      <c r="A46" s="45" t="s">
        <v>28</v>
      </c>
      <c r="B46" s="296">
        <f t="shared" ref="B46:B48" si="4">B23+B42</f>
        <v>160</v>
      </c>
      <c r="C46" s="297"/>
      <c r="D46" s="298"/>
      <c r="E46" s="299">
        <f t="shared" ref="E46:E48" si="5">E23+E42</f>
        <v>0</v>
      </c>
      <c r="F46" s="279"/>
      <c r="G46" s="300"/>
      <c r="H46" s="299">
        <f t="shared" ref="H46:H48" si="6">H23+H42</f>
        <v>0</v>
      </c>
      <c r="I46" s="279"/>
      <c r="J46" s="300"/>
      <c r="K46" s="299">
        <f t="shared" ref="K46:K48" si="7">K23+K42</f>
        <v>0</v>
      </c>
      <c r="L46" s="279"/>
      <c r="M46" s="300"/>
      <c r="N46" s="299">
        <f t="shared" ref="N46:N48" si="8">N23+N42</f>
        <v>0</v>
      </c>
      <c r="O46" s="279"/>
      <c r="P46" s="300"/>
      <c r="Q46" s="29" t="s">
        <v>18</v>
      </c>
      <c r="R46" s="40">
        <f t="shared" ref="R46:R48" si="9">SUM(B46:P46)</f>
        <v>160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x14ac:dyDescent="0.3">
      <c r="A47" s="32" t="s">
        <v>29</v>
      </c>
      <c r="B47" s="277">
        <f t="shared" si="4"/>
        <v>0</v>
      </c>
      <c r="C47" s="275"/>
      <c r="D47" s="276"/>
      <c r="E47" s="274">
        <f t="shared" si="5"/>
        <v>0</v>
      </c>
      <c r="F47" s="275"/>
      <c r="G47" s="276"/>
      <c r="H47" s="274">
        <f t="shared" si="6"/>
        <v>0</v>
      </c>
      <c r="I47" s="275"/>
      <c r="J47" s="276"/>
      <c r="K47" s="274">
        <f t="shared" si="7"/>
        <v>0</v>
      </c>
      <c r="L47" s="275"/>
      <c r="M47" s="276"/>
      <c r="N47" s="274">
        <f t="shared" si="8"/>
        <v>0</v>
      </c>
      <c r="O47" s="275"/>
      <c r="P47" s="276"/>
      <c r="Q47" s="33" t="s">
        <v>26</v>
      </c>
      <c r="R47" s="42">
        <f t="shared" si="9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15.75" customHeight="1" x14ac:dyDescent="0.3">
      <c r="A48" s="46" t="s">
        <v>30</v>
      </c>
      <c r="B48" s="266">
        <f t="shared" si="4"/>
        <v>0</v>
      </c>
      <c r="C48" s="267"/>
      <c r="D48" s="270"/>
      <c r="E48" s="269">
        <f t="shared" si="5"/>
        <v>0</v>
      </c>
      <c r="F48" s="267"/>
      <c r="G48" s="270"/>
      <c r="H48" s="269">
        <f t="shared" si="6"/>
        <v>0</v>
      </c>
      <c r="I48" s="267"/>
      <c r="J48" s="270"/>
      <c r="K48" s="269">
        <f t="shared" si="7"/>
        <v>0</v>
      </c>
      <c r="L48" s="267"/>
      <c r="M48" s="270"/>
      <c r="N48" s="269">
        <f t="shared" si="8"/>
        <v>0</v>
      </c>
      <c r="O48" s="267"/>
      <c r="P48" s="270"/>
      <c r="Q48" s="36" t="s">
        <v>23</v>
      </c>
      <c r="R48" s="44">
        <f t="shared" si="9"/>
        <v>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7.5" customHeight="1" x14ac:dyDescent="0.3">
      <c r="A49" s="47"/>
      <c r="B49" s="271" t="str">
        <f>IF(ISBLANK(B10),"",B10)</f>
        <v/>
      </c>
      <c r="C49" s="272"/>
      <c r="D49" s="273"/>
      <c r="E49" s="271" t="str">
        <f>IF(ISBLANK(E10),"",E10)</f>
        <v/>
      </c>
      <c r="F49" s="272"/>
      <c r="G49" s="273"/>
      <c r="H49" s="271" t="str">
        <f>IF(ISBLANK(H10),"",H10)</f>
        <v/>
      </c>
      <c r="I49" s="272"/>
      <c r="J49" s="273"/>
      <c r="K49" s="271" t="str">
        <f>IF(ISBLANK(K10),"",K10)</f>
        <v/>
      </c>
      <c r="L49" s="272"/>
      <c r="M49" s="273"/>
      <c r="N49" s="271" t="str">
        <f>IF(ISBLANK(N10),"",N10)</f>
        <v/>
      </c>
      <c r="O49" s="272"/>
      <c r="P49" s="273"/>
      <c r="Q49" s="264"/>
      <c r="R49" s="265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x14ac:dyDescent="0.3">
      <c r="A50" s="177" t="s">
        <v>31</v>
      </c>
      <c r="B50" s="290">
        <f>SUM(B46:D48)</f>
        <v>160</v>
      </c>
      <c r="C50" s="272"/>
      <c r="D50" s="273"/>
      <c r="E50" s="291">
        <f>SUM(E46:G48)</f>
        <v>0</v>
      </c>
      <c r="F50" s="284"/>
      <c r="G50" s="285"/>
      <c r="H50" s="291">
        <f>SUM(H46:J48)</f>
        <v>0</v>
      </c>
      <c r="I50" s="284"/>
      <c r="J50" s="285"/>
      <c r="K50" s="291">
        <f>SUM(K46:M48)</f>
        <v>0</v>
      </c>
      <c r="L50" s="284"/>
      <c r="M50" s="285"/>
      <c r="N50" s="291">
        <f>SUM(N46:P48)</f>
        <v>0</v>
      </c>
      <c r="O50" s="284"/>
      <c r="P50" s="285"/>
      <c r="Q50" s="286">
        <f t="shared" ref="Q50:Q51" si="10">SUM(B50:P50)</f>
        <v>160</v>
      </c>
      <c r="R50" s="285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x14ac:dyDescent="0.3">
      <c r="A51" s="48" t="s">
        <v>32</v>
      </c>
      <c r="B51" s="283">
        <f>(B46+B48)/((NETWORKDAYS($P$1,EOMONTH($P$1,0), HO))*8)</f>
        <v>0.90909090909090906</v>
      </c>
      <c r="C51" s="284"/>
      <c r="D51" s="285"/>
      <c r="E51" s="283">
        <f>(E46+E48)/((NETWORKDAYS($P$1,EOMONTH($P$1,0), HO))*8)</f>
        <v>0</v>
      </c>
      <c r="F51" s="284"/>
      <c r="G51" s="285"/>
      <c r="H51" s="283">
        <f>(H46+H48)/((NETWORKDAYS($P$1,EOMONTH($P$1,0), HO))*8)</f>
        <v>0</v>
      </c>
      <c r="I51" s="284"/>
      <c r="J51" s="285"/>
      <c r="K51" s="283">
        <f>(K46+K48)/((NETWORKDAYS($P$1,EOMONTH($P$1,0), HO))*8)</f>
        <v>0</v>
      </c>
      <c r="L51" s="284"/>
      <c r="M51" s="285"/>
      <c r="N51" s="283">
        <f>(N46+N48)/((NETWORKDAYS($P$1,EOMONTH($P$1,0), HO))*8)</f>
        <v>0</v>
      </c>
      <c r="O51" s="284"/>
      <c r="P51" s="285"/>
      <c r="Q51" s="283">
        <f t="shared" si="10"/>
        <v>0.90909090909090906</v>
      </c>
      <c r="R51" s="285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15.75" customHeight="1" x14ac:dyDescent="0.3">
      <c r="A52" s="48" t="s">
        <v>33</v>
      </c>
      <c r="B52" s="286">
        <f>R46+R48</f>
        <v>160</v>
      </c>
      <c r="C52" s="284"/>
      <c r="D52" s="285"/>
      <c r="E52" s="283" t="s">
        <v>21</v>
      </c>
      <c r="F52" s="284"/>
      <c r="G52" s="285"/>
      <c r="H52" s="286">
        <f>R47</f>
        <v>0</v>
      </c>
      <c r="I52" s="284"/>
      <c r="J52" s="285"/>
      <c r="K52" s="286">
        <f>R47</f>
        <v>0</v>
      </c>
      <c r="L52" s="284"/>
      <c r="M52" s="285"/>
      <c r="N52" s="283" t="s">
        <v>34</v>
      </c>
      <c r="O52" s="284"/>
      <c r="P52" s="285"/>
      <c r="Q52" s="286">
        <f>B52+H52</f>
        <v>160</v>
      </c>
      <c r="R52" s="285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24.75" customHeight="1" x14ac:dyDescent="0.25">
      <c r="A53" s="287" t="s">
        <v>35</v>
      </c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15.75" customHeight="1" x14ac:dyDescent="0.25">
      <c r="A54" s="49" t="s">
        <v>65</v>
      </c>
      <c r="B54" s="289"/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50" t="s">
        <v>37</v>
      </c>
      <c r="P54" s="289"/>
      <c r="Q54" s="272"/>
      <c r="R54" s="272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51"/>
      <c r="B55" s="38"/>
      <c r="C55" s="38"/>
      <c r="D55" s="52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15.75" customHeight="1" x14ac:dyDescent="0.25">
      <c r="A56" s="51"/>
      <c r="B56" s="38"/>
      <c r="C56" s="38"/>
      <c r="D56" s="52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5.75" customHeight="1" x14ac:dyDescent="0.25">
      <c r="A57" s="278" t="s">
        <v>66</v>
      </c>
      <c r="B57" s="279"/>
      <c r="C57" s="280"/>
      <c r="D57" s="279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281" t="s">
        <v>39</v>
      </c>
      <c r="B58" s="275"/>
      <c r="C58" s="282"/>
      <c r="D58" s="275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spans="1:29" ht="15.75" customHeight="1" x14ac:dyDescent="0.25">
      <c r="A257" s="51"/>
      <c r="B257" s="38"/>
      <c r="C257" s="38"/>
      <c r="D257" s="52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spans="1:29" ht="15.75" customHeight="1" x14ac:dyDescent="0.25">
      <c r="A258" s="51"/>
      <c r="B258" s="38"/>
      <c r="C258" s="38"/>
      <c r="D258" s="52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</row>
    <row r="259" spans="1:29" ht="15.75" customHeight="1" x14ac:dyDescent="0.25"/>
    <row r="260" spans="1:29" ht="15.75" customHeight="1" x14ac:dyDescent="0.25"/>
    <row r="261" spans="1:29" ht="15.75" customHeight="1" x14ac:dyDescent="0.25"/>
    <row r="262" spans="1:29" ht="15.75" customHeight="1" x14ac:dyDescent="0.25"/>
    <row r="263" spans="1:29" ht="15.75" customHeight="1" x14ac:dyDescent="0.25"/>
    <row r="264" spans="1:29" ht="15.75" customHeight="1" x14ac:dyDescent="0.25"/>
    <row r="265" spans="1:29" ht="15.75" customHeight="1" x14ac:dyDescent="0.25"/>
    <row r="266" spans="1:29" ht="15.75" customHeight="1" x14ac:dyDescent="0.25"/>
    <row r="267" spans="1:29" ht="15.75" customHeight="1" x14ac:dyDescent="0.25"/>
    <row r="268" spans="1:29" ht="15.75" customHeight="1" x14ac:dyDescent="0.25"/>
    <row r="269" spans="1:29" ht="15.75" customHeight="1" x14ac:dyDescent="0.25"/>
    <row r="270" spans="1:29" ht="15.75" customHeight="1" x14ac:dyDescent="0.25"/>
    <row r="271" spans="1:29" ht="15.75" customHeight="1" x14ac:dyDescent="0.25"/>
    <row r="272" spans="1:2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7">
    <mergeCell ref="A1:B1"/>
    <mergeCell ref="C1:O1"/>
    <mergeCell ref="P1:R1"/>
    <mergeCell ref="A2:B2"/>
    <mergeCell ref="C2:M2"/>
    <mergeCell ref="N2:R2"/>
    <mergeCell ref="C3:R3"/>
    <mergeCell ref="B5:D5"/>
    <mergeCell ref="E5:G5"/>
    <mergeCell ref="H5:J5"/>
    <mergeCell ref="K5:M5"/>
    <mergeCell ref="B4:D4"/>
    <mergeCell ref="Q4:R7"/>
    <mergeCell ref="B6:D6"/>
    <mergeCell ref="E6:G6"/>
    <mergeCell ref="H6:J6"/>
    <mergeCell ref="K6:M6"/>
    <mergeCell ref="N6:P6"/>
    <mergeCell ref="A3:B3"/>
    <mergeCell ref="E4:G4"/>
    <mergeCell ref="H4:J4"/>
    <mergeCell ref="K4:M4"/>
    <mergeCell ref="N4:P4"/>
    <mergeCell ref="N5:P5"/>
    <mergeCell ref="Q8:R8"/>
    <mergeCell ref="Q9:R9"/>
    <mergeCell ref="Q10:R10"/>
    <mergeCell ref="Q11:R11"/>
    <mergeCell ref="Q12:R12"/>
    <mergeCell ref="Q13:R13"/>
    <mergeCell ref="Q14:R14"/>
    <mergeCell ref="E24:G24"/>
    <mergeCell ref="H24:J24"/>
    <mergeCell ref="Q15:R15"/>
    <mergeCell ref="Q16:R16"/>
    <mergeCell ref="Q17:R17"/>
    <mergeCell ref="Q18:R18"/>
    <mergeCell ref="Q19:R19"/>
    <mergeCell ref="Q20:R20"/>
    <mergeCell ref="Q21:R21"/>
    <mergeCell ref="B25:D25"/>
    <mergeCell ref="E25:G25"/>
    <mergeCell ref="H25:J25"/>
    <mergeCell ref="K24:M24"/>
    <mergeCell ref="N24:P24"/>
    <mergeCell ref="K25:M25"/>
    <mergeCell ref="N25:P25"/>
    <mergeCell ref="Q22:R22"/>
    <mergeCell ref="B23:D23"/>
    <mergeCell ref="E23:G23"/>
    <mergeCell ref="H23:J23"/>
    <mergeCell ref="K23:M23"/>
    <mergeCell ref="N23:P23"/>
    <mergeCell ref="B24:D24"/>
    <mergeCell ref="N43:P43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N49:P49"/>
    <mergeCell ref="Q35:R35"/>
    <mergeCell ref="Q36:R36"/>
    <mergeCell ref="Q37:R37"/>
    <mergeCell ref="Q38:R38"/>
    <mergeCell ref="Q39:R39"/>
    <mergeCell ref="B46:D46"/>
    <mergeCell ref="E46:G46"/>
    <mergeCell ref="H46:J46"/>
    <mergeCell ref="K46:M46"/>
    <mergeCell ref="N46:P46"/>
    <mergeCell ref="Q40:R40"/>
    <mergeCell ref="Q41:R41"/>
    <mergeCell ref="B42:D42"/>
    <mergeCell ref="E42:G42"/>
    <mergeCell ref="H42:J42"/>
    <mergeCell ref="K42:M42"/>
    <mergeCell ref="N42:P42"/>
    <mergeCell ref="H44:J44"/>
    <mergeCell ref="K44:M44"/>
    <mergeCell ref="B43:D43"/>
    <mergeCell ref="E43:G43"/>
    <mergeCell ref="H43:J43"/>
    <mergeCell ref="K43:M43"/>
    <mergeCell ref="B50:D50"/>
    <mergeCell ref="E50:G50"/>
    <mergeCell ref="H50:J50"/>
    <mergeCell ref="K50:M50"/>
    <mergeCell ref="N50:P50"/>
    <mergeCell ref="Q50:R50"/>
    <mergeCell ref="B51:D51"/>
    <mergeCell ref="Q51:R51"/>
    <mergeCell ref="B52:D52"/>
    <mergeCell ref="A57:B57"/>
    <mergeCell ref="C57:D57"/>
    <mergeCell ref="A58:B58"/>
    <mergeCell ref="C58:D58"/>
    <mergeCell ref="E51:G51"/>
    <mergeCell ref="H51:J51"/>
    <mergeCell ref="E52:G52"/>
    <mergeCell ref="H52:J52"/>
    <mergeCell ref="A53:R53"/>
    <mergeCell ref="B54:N54"/>
    <mergeCell ref="P54:R54"/>
    <mergeCell ref="K51:M51"/>
    <mergeCell ref="N51:P51"/>
    <mergeCell ref="K52:M52"/>
    <mergeCell ref="N52:P52"/>
    <mergeCell ref="Q52:R52"/>
    <mergeCell ref="Q49:R49"/>
    <mergeCell ref="E44:G44"/>
    <mergeCell ref="N44:P44"/>
    <mergeCell ref="B44:D44"/>
    <mergeCell ref="B45:D45"/>
    <mergeCell ref="E45:G45"/>
    <mergeCell ref="H45:J45"/>
    <mergeCell ref="K45:M45"/>
    <mergeCell ref="N45:P45"/>
    <mergeCell ref="Q45:R45"/>
    <mergeCell ref="E47:G47"/>
    <mergeCell ref="N47:P47"/>
    <mergeCell ref="B47:D47"/>
    <mergeCell ref="B48:D48"/>
    <mergeCell ref="E48:G48"/>
    <mergeCell ref="H48:J48"/>
    <mergeCell ref="K48:M48"/>
    <mergeCell ref="N48:P48"/>
    <mergeCell ref="B49:D49"/>
    <mergeCell ref="H47:J47"/>
    <mergeCell ref="K47:M47"/>
    <mergeCell ref="E49:G49"/>
    <mergeCell ref="H49:J49"/>
    <mergeCell ref="K49:M49"/>
  </mergeCells>
  <conditionalFormatting sqref="B23 K42:N42">
    <cfRule type="cellIs" dxfId="409" priority="4" operator="greaterThan">
      <formula>0</formula>
    </cfRule>
  </conditionalFormatting>
  <conditionalFormatting sqref="B24 K43:N43">
    <cfRule type="cellIs" dxfId="408" priority="1" operator="greaterThan">
      <formula>1</formula>
    </cfRule>
  </conditionalFormatting>
  <conditionalFormatting sqref="B24:B25 K44:N44">
    <cfRule type="cellIs" dxfId="407" priority="3" operator="greaterThan">
      <formula>0</formula>
    </cfRule>
  </conditionalFormatting>
  <conditionalFormatting sqref="B42">
    <cfRule type="cellIs" dxfId="406" priority="17" operator="greaterThan">
      <formula>0</formula>
    </cfRule>
  </conditionalFormatting>
  <conditionalFormatting sqref="B43">
    <cfRule type="cellIs" dxfId="405" priority="14" operator="greaterThan">
      <formula>1</formula>
    </cfRule>
    <cfRule type="cellIs" dxfId="404" priority="74" operator="greaterThan">
      <formula>1</formula>
    </cfRule>
  </conditionalFormatting>
  <conditionalFormatting sqref="B43:B44">
    <cfRule type="cellIs" dxfId="403" priority="16" operator="greaterThan">
      <formula>0</formula>
    </cfRule>
    <cfRule type="cellIs" dxfId="402" priority="76" operator="greaterThan">
      <formula>0</formula>
    </cfRule>
  </conditionalFormatting>
  <conditionalFormatting sqref="B46">
    <cfRule type="cellIs" dxfId="401" priority="11" operator="greaterThan">
      <formula>0</formula>
    </cfRule>
  </conditionalFormatting>
  <conditionalFormatting sqref="B47">
    <cfRule type="cellIs" dxfId="400" priority="8" operator="greaterThan">
      <formula>1</formula>
    </cfRule>
  </conditionalFormatting>
  <conditionalFormatting sqref="B47:B48">
    <cfRule type="cellIs" dxfId="399" priority="10" operator="greaterThan">
      <formula>0</formula>
    </cfRule>
  </conditionalFormatting>
  <conditionalFormatting sqref="B25:D25">
    <cfRule type="cellIs" dxfId="398" priority="49" operator="greaterThan">
      <formula>0</formula>
    </cfRule>
  </conditionalFormatting>
  <conditionalFormatting sqref="B44:D44">
    <cfRule type="cellIs" dxfId="397" priority="79" operator="greaterThan">
      <formula>0</formula>
    </cfRule>
  </conditionalFormatting>
  <conditionalFormatting sqref="B48:M48">
    <cfRule type="cellIs" dxfId="396" priority="116" operator="greaterThan">
      <formula>0</formula>
    </cfRule>
  </conditionalFormatting>
  <conditionalFormatting sqref="B50:M50">
    <cfRule type="cellIs" dxfId="395" priority="13" operator="greaterThan">
      <formula>0</formula>
    </cfRule>
  </conditionalFormatting>
  <conditionalFormatting sqref="B48:P48 R48">
    <cfRule type="cellIs" dxfId="394" priority="7" operator="greaterThan">
      <formula>0</formula>
    </cfRule>
  </conditionalFormatting>
  <conditionalFormatting sqref="E24">
    <cfRule type="cellIs" dxfId="393" priority="50" operator="greaterThan">
      <formula>1</formula>
    </cfRule>
  </conditionalFormatting>
  <conditionalFormatting sqref="E24:E25">
    <cfRule type="cellIs" dxfId="392" priority="52" operator="greaterThan">
      <formula>0</formula>
    </cfRule>
  </conditionalFormatting>
  <conditionalFormatting sqref="E42">
    <cfRule type="cellIs" dxfId="391" priority="22" operator="greaterThan">
      <formula>0</formula>
    </cfRule>
  </conditionalFormatting>
  <conditionalFormatting sqref="E43">
    <cfRule type="cellIs" dxfId="390" priority="19" operator="greaterThan">
      <formula>1</formula>
    </cfRule>
    <cfRule type="cellIs" dxfId="389" priority="85" operator="greaterThan">
      <formula>1</formula>
    </cfRule>
    <cfRule type="cellIs" dxfId="388" priority="80" operator="greaterThan">
      <formula>1</formula>
    </cfRule>
  </conditionalFormatting>
  <conditionalFormatting sqref="E43:E44">
    <cfRule type="cellIs" dxfId="387" priority="21" operator="greaterThan">
      <formula>0</formula>
    </cfRule>
    <cfRule type="cellIs" dxfId="386" priority="82" operator="greaterThan">
      <formula>0</formula>
    </cfRule>
    <cfRule type="cellIs" dxfId="385" priority="87" operator="greaterThan">
      <formula>0</formula>
    </cfRule>
  </conditionalFormatting>
  <conditionalFormatting sqref="E46">
    <cfRule type="cellIs" dxfId="384" priority="37" operator="greaterThan">
      <formula>0</formula>
    </cfRule>
  </conditionalFormatting>
  <conditionalFormatting sqref="E47">
    <cfRule type="cellIs" dxfId="383" priority="34" operator="greaterThan">
      <formula>1</formula>
    </cfRule>
  </conditionalFormatting>
  <conditionalFormatting sqref="E47:E48">
    <cfRule type="cellIs" dxfId="382" priority="36" operator="greaterThan">
      <formula>0</formula>
    </cfRule>
  </conditionalFormatting>
  <conditionalFormatting sqref="E25:G25">
    <cfRule type="cellIs" dxfId="381" priority="55" operator="greaterThan">
      <formula>0</formula>
    </cfRule>
  </conditionalFormatting>
  <conditionalFormatting sqref="E44:G44">
    <cfRule type="cellIs" dxfId="380" priority="90" operator="greaterThan">
      <formula>0</formula>
    </cfRule>
  </conditionalFormatting>
  <conditionalFormatting sqref="E23:H23">
    <cfRule type="cellIs" dxfId="379" priority="53" operator="greaterThan">
      <formula>0</formula>
    </cfRule>
  </conditionalFormatting>
  <conditionalFormatting sqref="E24:M24">
    <cfRule type="cellIs" dxfId="378" priority="69" operator="greaterThan">
      <formula>0</formula>
    </cfRule>
  </conditionalFormatting>
  <conditionalFormatting sqref="E43:M43">
    <cfRule type="cellIs" dxfId="377" priority="113" operator="greaterThan">
      <formula>0</formula>
    </cfRule>
  </conditionalFormatting>
  <conditionalFormatting sqref="H24">
    <cfRule type="cellIs" dxfId="376" priority="56" operator="greaterThan">
      <formula>1</formula>
    </cfRule>
  </conditionalFormatting>
  <conditionalFormatting sqref="H24:H25">
    <cfRule type="cellIs" dxfId="375" priority="58" operator="greaterThan">
      <formula>0</formula>
    </cfRule>
  </conditionalFormatting>
  <conditionalFormatting sqref="H42">
    <cfRule type="cellIs" dxfId="374" priority="27" operator="greaterThan">
      <formula>0</formula>
    </cfRule>
  </conditionalFormatting>
  <conditionalFormatting sqref="H43">
    <cfRule type="cellIs" dxfId="373" priority="24" operator="greaterThan">
      <formula>1</formula>
    </cfRule>
    <cfRule type="cellIs" dxfId="372" priority="96" operator="greaterThan">
      <formula>1</formula>
    </cfRule>
    <cfRule type="cellIs" dxfId="371" priority="91" operator="greaterThan">
      <formula>1</formula>
    </cfRule>
  </conditionalFormatting>
  <conditionalFormatting sqref="H43:H44">
    <cfRule type="cellIs" dxfId="370" priority="26" operator="greaterThan">
      <formula>0</formula>
    </cfRule>
    <cfRule type="cellIs" dxfId="369" priority="93" operator="greaterThan">
      <formula>0</formula>
    </cfRule>
    <cfRule type="cellIs" dxfId="368" priority="98" operator="greaterThan">
      <formula>0</formula>
    </cfRule>
  </conditionalFormatting>
  <conditionalFormatting sqref="H46">
    <cfRule type="cellIs" dxfId="367" priority="42" operator="greaterThan">
      <formula>0</formula>
    </cfRule>
  </conditionalFormatting>
  <conditionalFormatting sqref="H47">
    <cfRule type="cellIs" dxfId="366" priority="39" operator="greaterThan">
      <formula>1</formula>
    </cfRule>
  </conditionalFormatting>
  <conditionalFormatting sqref="H47:H48">
    <cfRule type="cellIs" dxfId="365" priority="41" operator="greaterThan">
      <formula>0</formula>
    </cfRule>
  </conditionalFormatting>
  <conditionalFormatting sqref="H25:J25">
    <cfRule type="cellIs" dxfId="364" priority="61" operator="greaterThan">
      <formula>0</formula>
    </cfRule>
  </conditionalFormatting>
  <conditionalFormatting sqref="H44:J44">
    <cfRule type="cellIs" dxfId="363" priority="101" operator="greaterThan">
      <formula>0</formula>
    </cfRule>
  </conditionalFormatting>
  <conditionalFormatting sqref="K24">
    <cfRule type="cellIs" dxfId="362" priority="63" operator="greaterThan">
      <formula>1</formula>
    </cfRule>
  </conditionalFormatting>
  <conditionalFormatting sqref="K24:K25">
    <cfRule type="cellIs" dxfId="361" priority="65" operator="greaterThan">
      <formula>0</formula>
    </cfRule>
  </conditionalFormatting>
  <conditionalFormatting sqref="K43">
    <cfRule type="cellIs" dxfId="360" priority="102" operator="greaterThan">
      <formula>1</formula>
    </cfRule>
    <cfRule type="cellIs" dxfId="359" priority="107" operator="greaterThan">
      <formula>1</formula>
    </cfRule>
  </conditionalFormatting>
  <conditionalFormatting sqref="K43:K44">
    <cfRule type="cellIs" dxfId="358" priority="104" operator="greaterThan">
      <formula>0</formula>
    </cfRule>
    <cfRule type="cellIs" dxfId="357" priority="109" operator="greaterThan">
      <formula>0</formula>
    </cfRule>
    <cfRule type="cellIs" dxfId="356" priority="31" operator="greaterThan">
      <formula>0</formula>
    </cfRule>
  </conditionalFormatting>
  <conditionalFormatting sqref="K46">
    <cfRule type="cellIs" dxfId="355" priority="47" operator="greaterThan">
      <formula>0</formula>
    </cfRule>
  </conditionalFormatting>
  <conditionalFormatting sqref="K47">
    <cfRule type="cellIs" dxfId="354" priority="44" operator="greaterThan">
      <formula>1</formula>
    </cfRule>
  </conditionalFormatting>
  <conditionalFormatting sqref="K47:K48">
    <cfRule type="cellIs" dxfId="353" priority="46" operator="greaterThan">
      <formula>0</formula>
    </cfRule>
  </conditionalFormatting>
  <conditionalFormatting sqref="K23:M23">
    <cfRule type="cellIs" dxfId="352" priority="66" operator="greaterThan">
      <formula>0</formula>
    </cfRule>
  </conditionalFormatting>
  <conditionalFormatting sqref="K25:M25">
    <cfRule type="cellIs" dxfId="351" priority="68" operator="greaterThan">
      <formula>0</formula>
    </cfRule>
  </conditionalFormatting>
  <conditionalFormatting sqref="K44:M44">
    <cfRule type="cellIs" dxfId="350" priority="112" operator="greaterThan">
      <formula>0</formula>
    </cfRule>
  </conditionalFormatting>
  <conditionalFormatting sqref="K47:M47">
    <cfRule type="cellIs" dxfId="349" priority="117" operator="greaterThan">
      <formula>0</formula>
    </cfRule>
  </conditionalFormatting>
  <conditionalFormatting sqref="K47:P47">
    <cfRule type="cellIs" dxfId="348" priority="6" operator="greaterThan">
      <formula>0</formula>
    </cfRule>
  </conditionalFormatting>
  <pageMargins left="0.25" right="0.25" top="0.75" bottom="0.75" header="0.3" footer="0.3"/>
  <pageSetup scale="80" orientation="portrait" horizontalDpi="4294967293" vertic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C1000"/>
  <sheetViews>
    <sheetView workbookViewId="0">
      <selection activeCell="T7" sqref="T7"/>
    </sheetView>
  </sheetViews>
  <sheetFormatPr defaultColWidth="14.44140625" defaultRowHeight="15" customHeight="1" x14ac:dyDescent="0.25"/>
  <cols>
    <col min="1" max="1" width="20.44140625" customWidth="1"/>
    <col min="2" max="16" width="5.33203125" customWidth="1"/>
    <col min="17" max="17" width="14.6640625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17.399999999999999" x14ac:dyDescent="0.3">
      <c r="A1" s="311" t="s">
        <v>59</v>
      </c>
      <c r="B1" s="272"/>
      <c r="C1" s="312" t="s">
        <v>1</v>
      </c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313">
        <v>44409</v>
      </c>
      <c r="Q1" s="272"/>
      <c r="R1" s="272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314" t="s">
        <v>2</v>
      </c>
      <c r="B2" s="303"/>
      <c r="C2" s="315" t="e">
        <f>#REF!</f>
        <v>#REF!</v>
      </c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316" t="s">
        <v>61</v>
      </c>
      <c r="O2" s="279"/>
      <c r="P2" s="279"/>
      <c r="Q2" s="279"/>
      <c r="R2" s="300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7.399999999999999" x14ac:dyDescent="0.3">
      <c r="A3" s="325" t="s">
        <v>3</v>
      </c>
      <c r="B3" s="268"/>
      <c r="C3" s="317" t="e">
        <f>#REF!</f>
        <v>#REF!</v>
      </c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70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6.5" customHeight="1" x14ac:dyDescent="0.25">
      <c r="A4" s="2" t="s">
        <v>4</v>
      </c>
      <c r="B4" s="320" t="e">
        <f>#REF!</f>
        <v>#REF!</v>
      </c>
      <c r="C4" s="297"/>
      <c r="D4" s="298"/>
      <c r="E4" s="320" t="e">
        <f>#REF!</f>
        <v>#REF!</v>
      </c>
      <c r="F4" s="297"/>
      <c r="G4" s="298"/>
      <c r="H4" s="320" t="e">
        <f>#REF!</f>
        <v>#REF!</v>
      </c>
      <c r="I4" s="297"/>
      <c r="J4" s="298"/>
      <c r="K4" s="320" t="e">
        <f>#REF!</f>
        <v>#REF!</v>
      </c>
      <c r="L4" s="297"/>
      <c r="M4" s="298"/>
      <c r="N4" s="320" t="e">
        <f>#REF!</f>
        <v>#REF!</v>
      </c>
      <c r="O4" s="297"/>
      <c r="P4" s="298"/>
      <c r="Q4" s="321" t="s">
        <v>5</v>
      </c>
      <c r="R4" s="322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4" t="s">
        <v>6</v>
      </c>
      <c r="B5" s="318" t="e">
        <f>#REF!</f>
        <v>#REF!</v>
      </c>
      <c r="C5" s="319"/>
      <c r="D5" s="308"/>
      <c r="E5" s="318" t="e">
        <f>#REF!</f>
        <v>#REF!</v>
      </c>
      <c r="F5" s="319"/>
      <c r="G5" s="308"/>
      <c r="H5" s="318" t="e">
        <f>#REF!</f>
        <v>#REF!</v>
      </c>
      <c r="I5" s="319"/>
      <c r="J5" s="308"/>
      <c r="K5" s="318" t="e">
        <f>#REF!</f>
        <v>#REF!</v>
      </c>
      <c r="L5" s="319"/>
      <c r="M5" s="308"/>
      <c r="N5" s="318" t="e">
        <f>#REF!</f>
        <v>#REF!</v>
      </c>
      <c r="O5" s="319"/>
      <c r="P5" s="308"/>
      <c r="Q5" s="323"/>
      <c r="R5" s="265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x14ac:dyDescent="0.25">
      <c r="A6" s="5" t="s">
        <v>7</v>
      </c>
      <c r="B6" s="318" t="e">
        <f>#REF!</f>
        <v>#REF!</v>
      </c>
      <c r="C6" s="319"/>
      <c r="D6" s="308"/>
      <c r="E6" s="318" t="e">
        <f>#REF!</f>
        <v>#REF!</v>
      </c>
      <c r="F6" s="319"/>
      <c r="G6" s="308"/>
      <c r="H6" s="318" t="e">
        <f>#REF!</f>
        <v>#REF!</v>
      </c>
      <c r="I6" s="319"/>
      <c r="J6" s="308"/>
      <c r="K6" s="318" t="e">
        <f>#REF!</f>
        <v>#REF!</v>
      </c>
      <c r="L6" s="319"/>
      <c r="M6" s="308"/>
      <c r="N6" s="318" t="e">
        <f>#REF!</f>
        <v>#REF!</v>
      </c>
      <c r="O6" s="319"/>
      <c r="P6" s="308"/>
      <c r="Q6" s="323"/>
      <c r="R6" s="265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x14ac:dyDescent="0.25">
      <c r="A7" s="164"/>
      <c r="B7" s="7" t="s">
        <v>8</v>
      </c>
      <c r="C7" s="8" t="s">
        <v>9</v>
      </c>
      <c r="D7" s="9" t="s">
        <v>10</v>
      </c>
      <c r="E7" s="7" t="s">
        <v>8</v>
      </c>
      <c r="F7" s="8" t="s">
        <v>9</v>
      </c>
      <c r="G7" s="9" t="s">
        <v>10</v>
      </c>
      <c r="H7" s="7" t="s">
        <v>8</v>
      </c>
      <c r="I7" s="8" t="s">
        <v>9</v>
      </c>
      <c r="J7" s="9" t="s">
        <v>10</v>
      </c>
      <c r="K7" s="7" t="s">
        <v>8</v>
      </c>
      <c r="L7" s="8" t="s">
        <v>9</v>
      </c>
      <c r="M7" s="9" t="s">
        <v>10</v>
      </c>
      <c r="N7" s="7" t="s">
        <v>8</v>
      </c>
      <c r="O7" s="8" t="s">
        <v>9</v>
      </c>
      <c r="P7" s="9" t="s">
        <v>10</v>
      </c>
      <c r="Q7" s="324"/>
      <c r="R7" s="273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2" x14ac:dyDescent="0.25">
      <c r="A8" s="10">
        <v>44409</v>
      </c>
      <c r="B8" s="165"/>
      <c r="C8" s="166"/>
      <c r="D8" s="167"/>
      <c r="E8" s="168"/>
      <c r="F8" s="166"/>
      <c r="G8" s="167"/>
      <c r="H8" s="168"/>
      <c r="I8" s="166"/>
      <c r="J8" s="167"/>
      <c r="K8" s="168"/>
      <c r="L8" s="166"/>
      <c r="M8" s="167"/>
      <c r="N8" s="168"/>
      <c r="O8" s="166"/>
      <c r="P8" s="167"/>
      <c r="Q8" s="309"/>
      <c r="R8" s="29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2" x14ac:dyDescent="0.25">
      <c r="A9" s="15">
        <f t="shared" ref="A9:A22" si="0">A8+1</f>
        <v>44410</v>
      </c>
      <c r="B9" s="16"/>
      <c r="C9" s="17"/>
      <c r="D9" s="18"/>
      <c r="E9" s="19"/>
      <c r="F9" s="17"/>
      <c r="G9" s="18"/>
      <c r="H9" s="19"/>
      <c r="I9" s="17"/>
      <c r="J9" s="18"/>
      <c r="K9" s="19"/>
      <c r="L9" s="17"/>
      <c r="M9" s="18"/>
      <c r="N9" s="19"/>
      <c r="O9" s="17"/>
      <c r="P9" s="18"/>
      <c r="Q9" s="310"/>
      <c r="R9" s="276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3.2" x14ac:dyDescent="0.25">
      <c r="A10" s="21">
        <f t="shared" si="0"/>
        <v>44411</v>
      </c>
      <c r="B10" s="165"/>
      <c r="C10" s="22"/>
      <c r="D10" s="23"/>
      <c r="E10" s="24"/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  <c r="Q10" s="295"/>
      <c r="R10" s="27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2" x14ac:dyDescent="0.25">
      <c r="A11" s="21">
        <f t="shared" si="0"/>
        <v>44412</v>
      </c>
      <c r="B11" s="165"/>
      <c r="C11" s="22"/>
      <c r="D11" s="23"/>
      <c r="E11" s="24"/>
      <c r="F11" s="22"/>
      <c r="G11" s="23"/>
      <c r="H11" s="24"/>
      <c r="I11" s="22"/>
      <c r="J11" s="23"/>
      <c r="K11" s="24"/>
      <c r="L11" s="22"/>
      <c r="M11" s="23"/>
      <c r="N11" s="24"/>
      <c r="O11" s="22"/>
      <c r="P11" s="23"/>
      <c r="Q11" s="295"/>
      <c r="R11" s="27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2" x14ac:dyDescent="0.25">
      <c r="A12" s="21">
        <f t="shared" si="0"/>
        <v>44413</v>
      </c>
      <c r="B12" s="165"/>
      <c r="C12" s="22"/>
      <c r="D12" s="23"/>
      <c r="E12" s="24"/>
      <c r="F12" s="22"/>
      <c r="G12" s="23"/>
      <c r="H12" s="24"/>
      <c r="I12" s="22"/>
      <c r="J12" s="23"/>
      <c r="K12" s="24"/>
      <c r="L12" s="22"/>
      <c r="M12" s="23"/>
      <c r="N12" s="24"/>
      <c r="O12" s="22"/>
      <c r="P12" s="23"/>
      <c r="Q12" s="295"/>
      <c r="R12" s="27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2" x14ac:dyDescent="0.25">
      <c r="A13" s="21">
        <f t="shared" si="0"/>
        <v>44414</v>
      </c>
      <c r="B13" s="165"/>
      <c r="C13" s="22"/>
      <c r="D13" s="23"/>
      <c r="E13" s="24"/>
      <c r="F13" s="22"/>
      <c r="G13" s="23"/>
      <c r="H13" s="24"/>
      <c r="I13" s="22"/>
      <c r="J13" s="23"/>
      <c r="K13" s="24"/>
      <c r="L13" s="22"/>
      <c r="M13" s="23"/>
      <c r="N13" s="24"/>
      <c r="O13" s="22"/>
      <c r="P13" s="23"/>
      <c r="Q13" s="295"/>
      <c r="R13" s="27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2" x14ac:dyDescent="0.25">
      <c r="A14" s="21">
        <f t="shared" si="0"/>
        <v>44415</v>
      </c>
      <c r="B14" s="165"/>
      <c r="C14" s="22"/>
      <c r="D14" s="23"/>
      <c r="E14" s="24"/>
      <c r="F14" s="22"/>
      <c r="G14" s="23"/>
      <c r="H14" s="24"/>
      <c r="I14" s="22"/>
      <c r="J14" s="23"/>
      <c r="K14" s="24"/>
      <c r="L14" s="22"/>
      <c r="M14" s="23"/>
      <c r="N14" s="24"/>
      <c r="O14" s="22"/>
      <c r="P14" s="23"/>
      <c r="Q14" s="295"/>
      <c r="R14" s="27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2" x14ac:dyDescent="0.25">
      <c r="A15" s="21">
        <f t="shared" si="0"/>
        <v>44416</v>
      </c>
      <c r="B15" s="165"/>
      <c r="C15" s="22"/>
      <c r="D15" s="23"/>
      <c r="E15" s="24"/>
      <c r="F15" s="22"/>
      <c r="G15" s="23"/>
      <c r="H15" s="24"/>
      <c r="I15" s="22"/>
      <c r="J15" s="23"/>
      <c r="K15" s="24"/>
      <c r="L15" s="22"/>
      <c r="M15" s="23"/>
      <c r="N15" s="24"/>
      <c r="O15" s="22"/>
      <c r="P15" s="23"/>
      <c r="Q15" s="294"/>
      <c r="R15" s="27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2" x14ac:dyDescent="0.25">
      <c r="A16" s="21">
        <f t="shared" si="0"/>
        <v>44417</v>
      </c>
      <c r="B16" s="165"/>
      <c r="C16" s="22"/>
      <c r="D16" s="23"/>
      <c r="E16" s="24"/>
      <c r="F16" s="22"/>
      <c r="G16" s="23"/>
      <c r="H16" s="24"/>
      <c r="I16" s="22"/>
      <c r="J16" s="23"/>
      <c r="K16" s="24"/>
      <c r="L16" s="22"/>
      <c r="M16" s="23"/>
      <c r="N16" s="24"/>
      <c r="O16" s="22"/>
      <c r="P16" s="23"/>
      <c r="Q16" s="295"/>
      <c r="R16" s="27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3.8" x14ac:dyDescent="0.3">
      <c r="A17" s="21">
        <f t="shared" si="0"/>
        <v>44418</v>
      </c>
      <c r="B17" s="165"/>
      <c r="C17" s="22"/>
      <c r="D17" s="23"/>
      <c r="E17" s="24"/>
      <c r="F17" s="22"/>
      <c r="G17" s="23"/>
      <c r="H17" s="24"/>
      <c r="I17" s="22"/>
      <c r="J17" s="23"/>
      <c r="K17" s="24"/>
      <c r="L17" s="22"/>
      <c r="M17" s="23"/>
      <c r="N17" s="24"/>
      <c r="O17" s="22"/>
      <c r="P17" s="23"/>
      <c r="Q17" s="295"/>
      <c r="R17" s="276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3.8" x14ac:dyDescent="0.3">
      <c r="A18" s="21">
        <f t="shared" si="0"/>
        <v>44419</v>
      </c>
      <c r="B18" s="165"/>
      <c r="C18" s="22"/>
      <c r="D18" s="23"/>
      <c r="E18" s="24"/>
      <c r="F18" s="22"/>
      <c r="G18" s="23"/>
      <c r="H18" s="24"/>
      <c r="I18" s="22"/>
      <c r="J18" s="23"/>
      <c r="K18" s="24"/>
      <c r="L18" s="22"/>
      <c r="M18" s="23"/>
      <c r="N18" s="24"/>
      <c r="O18" s="22"/>
      <c r="P18" s="23"/>
      <c r="Q18" s="294"/>
      <c r="R18" s="276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3.8" x14ac:dyDescent="0.3">
      <c r="A19" s="21">
        <f t="shared" si="0"/>
        <v>44420</v>
      </c>
      <c r="B19" s="165"/>
      <c r="C19" s="22"/>
      <c r="D19" s="23"/>
      <c r="E19" s="24"/>
      <c r="F19" s="22"/>
      <c r="G19" s="23"/>
      <c r="H19" s="24"/>
      <c r="I19" s="22"/>
      <c r="J19" s="23"/>
      <c r="K19" s="24"/>
      <c r="L19" s="22"/>
      <c r="M19" s="23"/>
      <c r="N19" s="24"/>
      <c r="O19" s="22"/>
      <c r="P19" s="23"/>
      <c r="Q19" s="295"/>
      <c r="R19" s="276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3.8" x14ac:dyDescent="0.3">
      <c r="A20" s="21">
        <f t="shared" si="0"/>
        <v>44421</v>
      </c>
      <c r="B20" s="165"/>
      <c r="C20" s="22"/>
      <c r="D20" s="23"/>
      <c r="E20" s="24"/>
      <c r="F20" s="22"/>
      <c r="G20" s="23"/>
      <c r="H20" s="24"/>
      <c r="I20" s="22"/>
      <c r="J20" s="23"/>
      <c r="K20" s="24"/>
      <c r="L20" s="22"/>
      <c r="M20" s="23"/>
      <c r="N20" s="24"/>
      <c r="O20" s="22"/>
      <c r="P20" s="23"/>
      <c r="Q20" s="295"/>
      <c r="R20" s="276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21">
        <f t="shared" si="0"/>
        <v>44422</v>
      </c>
      <c r="B21" s="165"/>
      <c r="C21" s="22"/>
      <c r="D21" s="23"/>
      <c r="E21" s="24"/>
      <c r="F21" s="22"/>
      <c r="G21" s="23"/>
      <c r="H21" s="24"/>
      <c r="I21" s="22"/>
      <c r="J21" s="23"/>
      <c r="K21" s="24"/>
      <c r="L21" s="22"/>
      <c r="M21" s="23"/>
      <c r="N21" s="24"/>
      <c r="O21" s="22"/>
      <c r="P21" s="23"/>
      <c r="Q21" s="295"/>
      <c r="R21" s="276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x14ac:dyDescent="0.3">
      <c r="A22" s="26">
        <f t="shared" si="0"/>
        <v>44423</v>
      </c>
      <c r="B22" s="165"/>
      <c r="C22" s="169"/>
      <c r="D22" s="170"/>
      <c r="E22" s="171"/>
      <c r="F22" s="169"/>
      <c r="G22" s="170"/>
      <c r="H22" s="171"/>
      <c r="I22" s="169"/>
      <c r="J22" s="170"/>
      <c r="K22" s="171"/>
      <c r="L22" s="169"/>
      <c r="M22" s="170"/>
      <c r="N22" s="171"/>
      <c r="O22" s="169"/>
      <c r="P22" s="170"/>
      <c r="Q22" s="307"/>
      <c r="R22" s="308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28" t="s">
        <v>17</v>
      </c>
      <c r="B23" s="302">
        <f>SUM(B8:B22)</f>
        <v>0</v>
      </c>
      <c r="C23" s="297"/>
      <c r="D23" s="298"/>
      <c r="E23" s="302">
        <f>SUM(E8:E22)</f>
        <v>0</v>
      </c>
      <c r="F23" s="297"/>
      <c r="G23" s="298"/>
      <c r="H23" s="302">
        <f>SUM(H8:H22)</f>
        <v>0</v>
      </c>
      <c r="I23" s="297"/>
      <c r="J23" s="298"/>
      <c r="K23" s="302">
        <f>SUM(K8:K22)</f>
        <v>0</v>
      </c>
      <c r="L23" s="297"/>
      <c r="M23" s="298"/>
      <c r="N23" s="302">
        <f>SUM(N8:N22)</f>
        <v>0</v>
      </c>
      <c r="O23" s="297"/>
      <c r="P23" s="298"/>
      <c r="Q23" s="29" t="s">
        <v>18</v>
      </c>
      <c r="R23" s="30">
        <f t="shared" ref="R23:R25" si="1">SUM(B23:P23)</f>
        <v>0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3">
      <c r="A24" s="32" t="s">
        <v>20</v>
      </c>
      <c r="B24" s="277">
        <f>SUM(C8:C23)</f>
        <v>0</v>
      </c>
      <c r="C24" s="275"/>
      <c r="D24" s="276"/>
      <c r="E24" s="277">
        <f>SUM(F8:F23)</f>
        <v>0</v>
      </c>
      <c r="F24" s="275"/>
      <c r="G24" s="276"/>
      <c r="H24" s="277">
        <f>SUM(I8:I23)</f>
        <v>0</v>
      </c>
      <c r="I24" s="275"/>
      <c r="J24" s="276"/>
      <c r="K24" s="277">
        <f>SUM(L8:L23)</f>
        <v>0</v>
      </c>
      <c r="L24" s="275"/>
      <c r="M24" s="276"/>
      <c r="N24" s="277">
        <f>SUM(O8:O23)</f>
        <v>0</v>
      </c>
      <c r="O24" s="275"/>
      <c r="P24" s="276"/>
      <c r="Q24" s="33" t="s">
        <v>21</v>
      </c>
      <c r="R24" s="34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x14ac:dyDescent="0.3">
      <c r="A25" s="35" t="s">
        <v>22</v>
      </c>
      <c r="B25" s="266">
        <f>SUM(D8:D22)</f>
        <v>0</v>
      </c>
      <c r="C25" s="267"/>
      <c r="D25" s="270"/>
      <c r="E25" s="266">
        <f>SUM(G8:G22)</f>
        <v>0</v>
      </c>
      <c r="F25" s="267"/>
      <c r="G25" s="270"/>
      <c r="H25" s="266">
        <f>SUM(J8:J22)</f>
        <v>0</v>
      </c>
      <c r="I25" s="267"/>
      <c r="J25" s="270"/>
      <c r="K25" s="266">
        <f>SUM(M8:M22)</f>
        <v>0</v>
      </c>
      <c r="L25" s="267"/>
      <c r="M25" s="270"/>
      <c r="N25" s="266">
        <f>SUM(P8:P22)</f>
        <v>0</v>
      </c>
      <c r="O25" s="267"/>
      <c r="P25" s="270"/>
      <c r="Q25" s="36" t="s">
        <v>23</v>
      </c>
      <c r="R25" s="37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10">
        <f>A22+1</f>
        <v>44424</v>
      </c>
      <c r="B26" s="172"/>
      <c r="C26" s="173"/>
      <c r="D26" s="174"/>
      <c r="E26" s="175"/>
      <c r="F26" s="173"/>
      <c r="G26" s="174"/>
      <c r="H26" s="175"/>
      <c r="I26" s="173"/>
      <c r="J26" s="174"/>
      <c r="K26" s="175"/>
      <c r="L26" s="173"/>
      <c r="M26" s="174"/>
      <c r="N26" s="175"/>
      <c r="O26" s="173"/>
      <c r="P26" s="174"/>
      <c r="Q26" s="305"/>
      <c r="R26" s="300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21">
        <f t="shared" ref="A27:A41" si="2">A26+1</f>
        <v>44425</v>
      </c>
      <c r="B27" s="172"/>
      <c r="C27" s="22"/>
      <c r="D27" s="23"/>
      <c r="E27" s="24"/>
      <c r="F27" s="22"/>
      <c r="G27" s="23"/>
      <c r="H27" s="24"/>
      <c r="I27" s="22"/>
      <c r="J27" s="23"/>
      <c r="K27" s="24"/>
      <c r="L27" s="22"/>
      <c r="M27" s="23"/>
      <c r="N27" s="24"/>
      <c r="O27" s="22"/>
      <c r="P27" s="23"/>
      <c r="Q27" s="294"/>
      <c r="R27" s="27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21">
        <f t="shared" si="2"/>
        <v>44426</v>
      </c>
      <c r="B28" s="172"/>
      <c r="C28" s="22"/>
      <c r="D28" s="23"/>
      <c r="E28" s="24"/>
      <c r="F28" s="22"/>
      <c r="G28" s="23"/>
      <c r="H28" s="24"/>
      <c r="I28" s="22"/>
      <c r="J28" s="23"/>
      <c r="K28" s="24"/>
      <c r="L28" s="22"/>
      <c r="M28" s="23"/>
      <c r="N28" s="24"/>
      <c r="O28" s="22"/>
      <c r="P28" s="23"/>
      <c r="Q28" s="295"/>
      <c r="R28" s="27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21">
        <f t="shared" si="2"/>
        <v>44427</v>
      </c>
      <c r="B29" s="172"/>
      <c r="C29" s="22"/>
      <c r="D29" s="23"/>
      <c r="E29" s="24"/>
      <c r="F29" s="22"/>
      <c r="G29" s="23"/>
      <c r="H29" s="24"/>
      <c r="I29" s="22"/>
      <c r="J29" s="23"/>
      <c r="K29" s="24"/>
      <c r="L29" s="22"/>
      <c r="M29" s="23"/>
      <c r="N29" s="24"/>
      <c r="O29" s="22"/>
      <c r="P29" s="23"/>
      <c r="Q29" s="295"/>
      <c r="R29" s="27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21">
        <f t="shared" si="2"/>
        <v>44428</v>
      </c>
      <c r="B30" s="172"/>
      <c r="C30" s="22"/>
      <c r="D30" s="23"/>
      <c r="E30" s="24"/>
      <c r="F30" s="22"/>
      <c r="G30" s="23"/>
      <c r="H30" s="24"/>
      <c r="I30" s="22"/>
      <c r="J30" s="23"/>
      <c r="K30" s="24"/>
      <c r="L30" s="22"/>
      <c r="M30" s="23"/>
      <c r="N30" s="24"/>
      <c r="O30" s="22"/>
      <c r="P30" s="23"/>
      <c r="Q30" s="295"/>
      <c r="R30" s="27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21">
        <f t="shared" si="2"/>
        <v>44429</v>
      </c>
      <c r="B31" s="172"/>
      <c r="C31" s="22"/>
      <c r="D31" s="23"/>
      <c r="E31" s="24"/>
      <c r="F31" s="22"/>
      <c r="G31" s="23"/>
      <c r="H31" s="24"/>
      <c r="I31" s="22"/>
      <c r="J31" s="23"/>
      <c r="K31" s="24"/>
      <c r="L31" s="22"/>
      <c r="M31" s="23"/>
      <c r="N31" s="24"/>
      <c r="O31" s="22"/>
      <c r="P31" s="23"/>
      <c r="Q31" s="306"/>
      <c r="R31" s="27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21">
        <f t="shared" si="2"/>
        <v>44430</v>
      </c>
      <c r="B32" s="172"/>
      <c r="C32" s="22"/>
      <c r="D32" s="23"/>
      <c r="E32" s="24"/>
      <c r="F32" s="22"/>
      <c r="G32" s="23"/>
      <c r="H32" s="24"/>
      <c r="I32" s="22"/>
      <c r="J32" s="23"/>
      <c r="K32" s="24"/>
      <c r="L32" s="22"/>
      <c r="M32" s="23"/>
      <c r="N32" s="24"/>
      <c r="O32" s="22"/>
      <c r="P32" s="23"/>
      <c r="Q32" s="295"/>
      <c r="R32" s="27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21">
        <f t="shared" si="2"/>
        <v>44431</v>
      </c>
      <c r="B33" s="172"/>
      <c r="C33" s="22"/>
      <c r="D33" s="23"/>
      <c r="E33" s="24"/>
      <c r="F33" s="22"/>
      <c r="G33" s="23"/>
      <c r="H33" s="24"/>
      <c r="I33" s="22"/>
      <c r="J33" s="23"/>
      <c r="K33" s="24"/>
      <c r="L33" s="22"/>
      <c r="M33" s="23"/>
      <c r="N33" s="24"/>
      <c r="O33" s="22"/>
      <c r="P33" s="23"/>
      <c r="Q33" s="294"/>
      <c r="R33" s="27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21">
        <f t="shared" si="2"/>
        <v>44432</v>
      </c>
      <c r="B34" s="172"/>
      <c r="C34" s="22"/>
      <c r="D34" s="23"/>
      <c r="E34" s="24"/>
      <c r="F34" s="22"/>
      <c r="G34" s="23"/>
      <c r="H34" s="24"/>
      <c r="I34" s="22"/>
      <c r="J34" s="23"/>
      <c r="K34" s="24"/>
      <c r="L34" s="22"/>
      <c r="M34" s="23"/>
      <c r="N34" s="24"/>
      <c r="O34" s="22"/>
      <c r="P34" s="23"/>
      <c r="Q34" s="295"/>
      <c r="R34" s="27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21">
        <f t="shared" si="2"/>
        <v>44433</v>
      </c>
      <c r="B35" s="172"/>
      <c r="C35" s="22"/>
      <c r="D35" s="23"/>
      <c r="E35" s="24"/>
      <c r="F35" s="22"/>
      <c r="G35" s="23"/>
      <c r="H35" s="24"/>
      <c r="I35" s="22"/>
      <c r="J35" s="23"/>
      <c r="K35" s="24"/>
      <c r="L35" s="22"/>
      <c r="M35" s="23"/>
      <c r="N35" s="24"/>
      <c r="O35" s="22"/>
      <c r="P35" s="23"/>
      <c r="Q35" s="295"/>
      <c r="R35" s="27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21">
        <f t="shared" si="2"/>
        <v>44434</v>
      </c>
      <c r="B36" s="172"/>
      <c r="C36" s="22"/>
      <c r="D36" s="23"/>
      <c r="E36" s="24"/>
      <c r="F36" s="22"/>
      <c r="G36" s="23"/>
      <c r="H36" s="24"/>
      <c r="I36" s="22"/>
      <c r="J36" s="23"/>
      <c r="K36" s="24"/>
      <c r="L36" s="22"/>
      <c r="M36" s="23"/>
      <c r="N36" s="24"/>
      <c r="O36" s="22"/>
      <c r="P36" s="23"/>
      <c r="Q36" s="294"/>
      <c r="R36" s="27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21">
        <f t="shared" si="2"/>
        <v>44435</v>
      </c>
      <c r="B37" s="172"/>
      <c r="C37" s="22"/>
      <c r="D37" s="23"/>
      <c r="E37" s="24"/>
      <c r="F37" s="22"/>
      <c r="G37" s="23"/>
      <c r="H37" s="24"/>
      <c r="I37" s="22"/>
      <c r="J37" s="23"/>
      <c r="K37" s="24"/>
      <c r="L37" s="22"/>
      <c r="M37" s="23"/>
      <c r="N37" s="24"/>
      <c r="O37" s="22"/>
      <c r="P37" s="23"/>
      <c r="Q37" s="295"/>
      <c r="R37" s="27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21">
        <f t="shared" si="2"/>
        <v>44436</v>
      </c>
      <c r="B38" s="172"/>
      <c r="C38" s="22"/>
      <c r="D38" s="23"/>
      <c r="E38" s="24"/>
      <c r="F38" s="22"/>
      <c r="G38" s="23"/>
      <c r="H38" s="24"/>
      <c r="I38" s="22"/>
      <c r="J38" s="23"/>
      <c r="K38" s="24"/>
      <c r="L38" s="22"/>
      <c r="M38" s="23"/>
      <c r="N38" s="24"/>
      <c r="O38" s="22"/>
      <c r="P38" s="23"/>
      <c r="Q38" s="295"/>
      <c r="R38" s="27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21">
        <f t="shared" si="2"/>
        <v>44437</v>
      </c>
      <c r="B39" s="172"/>
      <c r="C39" s="22"/>
      <c r="D39" s="23"/>
      <c r="E39" s="24"/>
      <c r="F39" s="22"/>
      <c r="G39" s="23"/>
      <c r="H39" s="24"/>
      <c r="I39" s="22"/>
      <c r="J39" s="23"/>
      <c r="K39" s="24"/>
      <c r="L39" s="22"/>
      <c r="M39" s="23"/>
      <c r="N39" s="24"/>
      <c r="O39" s="22"/>
      <c r="P39" s="23"/>
      <c r="Q39" s="295"/>
      <c r="R39" s="27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x14ac:dyDescent="0.25">
      <c r="A40" s="21">
        <f t="shared" si="2"/>
        <v>44438</v>
      </c>
      <c r="B40" s="172"/>
      <c r="C40" s="22"/>
      <c r="D40" s="23"/>
      <c r="E40" s="24"/>
      <c r="F40" s="22"/>
      <c r="G40" s="23"/>
      <c r="H40" s="24"/>
      <c r="I40" s="22"/>
      <c r="J40" s="23"/>
      <c r="K40" s="24"/>
      <c r="L40" s="22"/>
      <c r="M40" s="23"/>
      <c r="N40" s="24"/>
      <c r="O40" s="22"/>
      <c r="P40" s="23"/>
      <c r="Q40" s="295"/>
      <c r="R40" s="276"/>
      <c r="S40" s="6"/>
      <c r="T40" s="6"/>
      <c r="U40" s="38"/>
      <c r="V40" s="38"/>
      <c r="W40" s="6"/>
      <c r="X40" s="6"/>
      <c r="Y40" s="6"/>
      <c r="Z40" s="6"/>
      <c r="AA40" s="6"/>
      <c r="AB40" s="6"/>
      <c r="AC40" s="6"/>
    </row>
    <row r="41" spans="1:29" ht="15.75" customHeight="1" x14ac:dyDescent="0.25">
      <c r="A41" s="21">
        <f t="shared" si="2"/>
        <v>44439</v>
      </c>
      <c r="B41" s="172"/>
      <c r="C41" s="169"/>
      <c r="D41" s="170"/>
      <c r="E41" s="171"/>
      <c r="F41" s="169"/>
      <c r="G41" s="170"/>
      <c r="H41" s="171"/>
      <c r="I41" s="169"/>
      <c r="J41" s="170"/>
      <c r="K41" s="171"/>
      <c r="L41" s="169"/>
      <c r="M41" s="170"/>
      <c r="N41" s="171"/>
      <c r="O41" s="169"/>
      <c r="P41" s="170"/>
      <c r="Q41" s="307"/>
      <c r="R41" s="308"/>
      <c r="S41" s="6"/>
      <c r="T41" s="6"/>
      <c r="U41" s="38"/>
      <c r="V41" s="38"/>
      <c r="W41" s="6"/>
      <c r="X41" s="6"/>
      <c r="Y41" s="6"/>
      <c r="Z41" s="6"/>
      <c r="AA41" s="6"/>
      <c r="AB41" s="6"/>
      <c r="AC41" s="6"/>
    </row>
    <row r="42" spans="1:29" ht="15.75" customHeight="1" x14ac:dyDescent="0.3">
      <c r="A42" s="39" t="s">
        <v>24</v>
      </c>
      <c r="B42" s="296">
        <f>SUM(B26:B41)</f>
        <v>0</v>
      </c>
      <c r="C42" s="297"/>
      <c r="D42" s="298"/>
      <c r="E42" s="302">
        <f>SUM(E26:E41)</f>
        <v>0</v>
      </c>
      <c r="F42" s="297"/>
      <c r="G42" s="303"/>
      <c r="H42" s="296">
        <f>SUM(H26:H41)</f>
        <v>0</v>
      </c>
      <c r="I42" s="297"/>
      <c r="J42" s="298"/>
      <c r="K42" s="302">
        <f>SUM(K26:K41)</f>
        <v>0</v>
      </c>
      <c r="L42" s="297"/>
      <c r="M42" s="303"/>
      <c r="N42" s="302">
        <f>SUM(N26:N41)</f>
        <v>0</v>
      </c>
      <c r="O42" s="297"/>
      <c r="P42" s="303"/>
      <c r="Q42" s="29" t="s">
        <v>18</v>
      </c>
      <c r="R42" s="40">
        <f t="shared" ref="R42:R44" si="3">SUM(B42:P42)</f>
        <v>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x14ac:dyDescent="0.3">
      <c r="A43" s="41" t="s">
        <v>25</v>
      </c>
      <c r="B43" s="274">
        <f>SUM(C26:C42)</f>
        <v>0</v>
      </c>
      <c r="C43" s="275"/>
      <c r="D43" s="276"/>
      <c r="E43" s="277">
        <f>SUM(F26:F42)</f>
        <v>0</v>
      </c>
      <c r="F43" s="275"/>
      <c r="G43" s="304"/>
      <c r="H43" s="274">
        <f>SUM(I26:I42)</f>
        <v>0</v>
      </c>
      <c r="I43" s="275"/>
      <c r="J43" s="276"/>
      <c r="K43" s="277">
        <f>SUM(L26:L42)</f>
        <v>0</v>
      </c>
      <c r="L43" s="275"/>
      <c r="M43" s="304"/>
      <c r="N43" s="277">
        <f>SUM(O26:O42)</f>
        <v>0</v>
      </c>
      <c r="O43" s="275"/>
      <c r="P43" s="304"/>
      <c r="Q43" s="33" t="s">
        <v>26</v>
      </c>
      <c r="R43" s="42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15.75" customHeight="1" x14ac:dyDescent="0.3">
      <c r="A44" s="43" t="s">
        <v>27</v>
      </c>
      <c r="B44" s="269">
        <f>SUM(D26:D41)</f>
        <v>0</v>
      </c>
      <c r="C44" s="267"/>
      <c r="D44" s="270"/>
      <c r="E44" s="266">
        <f>SUM(G26:G41)</f>
        <v>0</v>
      </c>
      <c r="F44" s="267"/>
      <c r="G44" s="268"/>
      <c r="H44" s="269">
        <f>SUM(J26:J41)</f>
        <v>0</v>
      </c>
      <c r="I44" s="267"/>
      <c r="J44" s="270"/>
      <c r="K44" s="266">
        <f>SUM(M26:M41)</f>
        <v>0</v>
      </c>
      <c r="L44" s="267"/>
      <c r="M44" s="268"/>
      <c r="N44" s="266">
        <f>SUM(P26:P41)</f>
        <v>0</v>
      </c>
      <c r="O44" s="267"/>
      <c r="P44" s="268"/>
      <c r="Q44" s="36" t="s">
        <v>23</v>
      </c>
      <c r="R44" s="44">
        <f t="shared" si="3"/>
        <v>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6.75" customHeight="1" x14ac:dyDescent="0.3">
      <c r="A45" s="176"/>
      <c r="B45" s="271" t="e">
        <f>IF(ISBLANK(B6),"",B6)</f>
        <v>#REF!</v>
      </c>
      <c r="C45" s="272"/>
      <c r="D45" s="273"/>
      <c r="E45" s="271" t="e">
        <f>IF(ISBLANK(E6),"",E6)</f>
        <v>#REF!</v>
      </c>
      <c r="F45" s="272"/>
      <c r="G45" s="273"/>
      <c r="H45" s="271" t="e">
        <f>IF(ISBLANK(H6),"",H6)</f>
        <v>#REF!</v>
      </c>
      <c r="I45" s="272"/>
      <c r="J45" s="273"/>
      <c r="K45" s="271" t="e">
        <f>IF(ISBLANK(K6),"",K6)</f>
        <v>#REF!</v>
      </c>
      <c r="L45" s="272"/>
      <c r="M45" s="273"/>
      <c r="N45" s="271" t="e">
        <f>IF(ISBLANK(N6),"",N6)</f>
        <v>#REF!</v>
      </c>
      <c r="O45" s="272"/>
      <c r="P45" s="273"/>
      <c r="Q45" s="264"/>
      <c r="R45" s="265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3">
      <c r="A46" s="45" t="s">
        <v>28</v>
      </c>
      <c r="B46" s="296">
        <f t="shared" ref="B46:B48" si="4">B23+B42</f>
        <v>0</v>
      </c>
      <c r="C46" s="297"/>
      <c r="D46" s="298"/>
      <c r="E46" s="299">
        <f t="shared" ref="E46:E48" si="5">E23+E42</f>
        <v>0</v>
      </c>
      <c r="F46" s="279"/>
      <c r="G46" s="300"/>
      <c r="H46" s="299">
        <f t="shared" ref="H46:H48" si="6">H23+H42</f>
        <v>0</v>
      </c>
      <c r="I46" s="279"/>
      <c r="J46" s="300"/>
      <c r="K46" s="299">
        <f t="shared" ref="K46:K48" si="7">K23+K42</f>
        <v>0</v>
      </c>
      <c r="L46" s="279"/>
      <c r="M46" s="300"/>
      <c r="N46" s="299">
        <f t="shared" ref="N46:N48" si="8">N23+N42</f>
        <v>0</v>
      </c>
      <c r="O46" s="279"/>
      <c r="P46" s="300"/>
      <c r="Q46" s="29" t="s">
        <v>18</v>
      </c>
      <c r="R46" s="40">
        <f t="shared" ref="R46:R48" si="9">SUM(B46:P46)</f>
        <v>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x14ac:dyDescent="0.3">
      <c r="A47" s="32" t="s">
        <v>29</v>
      </c>
      <c r="B47" s="277">
        <f t="shared" si="4"/>
        <v>0</v>
      </c>
      <c r="C47" s="275"/>
      <c r="D47" s="276"/>
      <c r="E47" s="274">
        <f t="shared" si="5"/>
        <v>0</v>
      </c>
      <c r="F47" s="275"/>
      <c r="G47" s="276"/>
      <c r="H47" s="274">
        <f t="shared" si="6"/>
        <v>0</v>
      </c>
      <c r="I47" s="275"/>
      <c r="J47" s="276"/>
      <c r="K47" s="274">
        <f t="shared" si="7"/>
        <v>0</v>
      </c>
      <c r="L47" s="275"/>
      <c r="M47" s="276"/>
      <c r="N47" s="274">
        <f t="shared" si="8"/>
        <v>0</v>
      </c>
      <c r="O47" s="275"/>
      <c r="P47" s="276"/>
      <c r="Q47" s="33" t="s">
        <v>26</v>
      </c>
      <c r="R47" s="42">
        <f t="shared" si="9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15.75" customHeight="1" x14ac:dyDescent="0.3">
      <c r="A48" s="46" t="s">
        <v>30</v>
      </c>
      <c r="B48" s="266">
        <f t="shared" si="4"/>
        <v>0</v>
      </c>
      <c r="C48" s="267"/>
      <c r="D48" s="270"/>
      <c r="E48" s="269">
        <f t="shared" si="5"/>
        <v>0</v>
      </c>
      <c r="F48" s="267"/>
      <c r="G48" s="270"/>
      <c r="H48" s="269">
        <f t="shared" si="6"/>
        <v>0</v>
      </c>
      <c r="I48" s="267"/>
      <c r="J48" s="270"/>
      <c r="K48" s="269">
        <f t="shared" si="7"/>
        <v>0</v>
      </c>
      <c r="L48" s="267"/>
      <c r="M48" s="270"/>
      <c r="N48" s="269">
        <f t="shared" si="8"/>
        <v>0</v>
      </c>
      <c r="O48" s="267"/>
      <c r="P48" s="270"/>
      <c r="Q48" s="36" t="s">
        <v>23</v>
      </c>
      <c r="R48" s="44">
        <f t="shared" si="9"/>
        <v>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7.5" customHeight="1" x14ac:dyDescent="0.3">
      <c r="A49" s="47"/>
      <c r="B49" s="271" t="str">
        <f>IF(ISBLANK(B10),"",B10)</f>
        <v/>
      </c>
      <c r="C49" s="272"/>
      <c r="D49" s="273"/>
      <c r="E49" s="271" t="str">
        <f>IF(ISBLANK(E10),"",E10)</f>
        <v/>
      </c>
      <c r="F49" s="272"/>
      <c r="G49" s="273"/>
      <c r="H49" s="271" t="str">
        <f>IF(ISBLANK(H10),"",H10)</f>
        <v/>
      </c>
      <c r="I49" s="272"/>
      <c r="J49" s="273"/>
      <c r="K49" s="271" t="str">
        <f>IF(ISBLANK(K10),"",K10)</f>
        <v/>
      </c>
      <c r="L49" s="272"/>
      <c r="M49" s="273"/>
      <c r="N49" s="271" t="str">
        <f>IF(ISBLANK(N10),"",N10)</f>
        <v/>
      </c>
      <c r="O49" s="272"/>
      <c r="P49" s="273"/>
      <c r="Q49" s="264"/>
      <c r="R49" s="265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x14ac:dyDescent="0.3">
      <c r="A50" s="177" t="s">
        <v>31</v>
      </c>
      <c r="B50" s="290">
        <f>SUM(B46:D48)</f>
        <v>0</v>
      </c>
      <c r="C50" s="272"/>
      <c r="D50" s="273"/>
      <c r="E50" s="291">
        <f>SUM(E46:G48)</f>
        <v>0</v>
      </c>
      <c r="F50" s="284"/>
      <c r="G50" s="285"/>
      <c r="H50" s="291">
        <f>SUM(H46:J48)</f>
        <v>0</v>
      </c>
      <c r="I50" s="284"/>
      <c r="J50" s="285"/>
      <c r="K50" s="291">
        <f>SUM(K46:M48)</f>
        <v>0</v>
      </c>
      <c r="L50" s="284"/>
      <c r="M50" s="285"/>
      <c r="N50" s="291">
        <f>SUM(N46:P48)</f>
        <v>0</v>
      </c>
      <c r="O50" s="284"/>
      <c r="P50" s="285"/>
      <c r="Q50" s="286">
        <f t="shared" ref="Q50:Q51" si="10">SUM(B50:P50)</f>
        <v>0</v>
      </c>
      <c r="R50" s="285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x14ac:dyDescent="0.3">
      <c r="A51" s="48" t="s">
        <v>32</v>
      </c>
      <c r="B51" s="283">
        <f>(B46+B48)/((NETWORKDAYS($P$1,EOMONTH($P$1,0), HO))*8)</f>
        <v>0</v>
      </c>
      <c r="C51" s="284"/>
      <c r="D51" s="285"/>
      <c r="E51" s="283">
        <f>(E46+E48)/((NETWORKDAYS($P$1,EOMONTH($P$1,0), HO))*8)</f>
        <v>0</v>
      </c>
      <c r="F51" s="284"/>
      <c r="G51" s="285"/>
      <c r="H51" s="283">
        <f>(H46+H48)/((NETWORKDAYS($P$1,EOMONTH($P$1,0), HO))*8)</f>
        <v>0</v>
      </c>
      <c r="I51" s="284"/>
      <c r="J51" s="285"/>
      <c r="K51" s="283">
        <f>(K46+K48)/((NETWORKDAYS($P$1,EOMONTH($P$1,0), HO))*8)</f>
        <v>0</v>
      </c>
      <c r="L51" s="284"/>
      <c r="M51" s="285"/>
      <c r="N51" s="283">
        <f>(N46+N48)/((NETWORKDAYS($P$1,EOMONTH($P$1,0), HO))*8)</f>
        <v>0</v>
      </c>
      <c r="O51" s="284"/>
      <c r="P51" s="285"/>
      <c r="Q51" s="283">
        <f t="shared" si="10"/>
        <v>0</v>
      </c>
      <c r="R51" s="285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15.75" customHeight="1" x14ac:dyDescent="0.3">
      <c r="A52" s="48" t="s">
        <v>33</v>
      </c>
      <c r="B52" s="286">
        <f>R46+R48</f>
        <v>0</v>
      </c>
      <c r="C52" s="284"/>
      <c r="D52" s="285"/>
      <c r="E52" s="283" t="s">
        <v>21</v>
      </c>
      <c r="F52" s="284"/>
      <c r="G52" s="285"/>
      <c r="H52" s="286">
        <f>R47</f>
        <v>0</v>
      </c>
      <c r="I52" s="284"/>
      <c r="J52" s="285"/>
      <c r="K52" s="286">
        <f>R47</f>
        <v>0</v>
      </c>
      <c r="L52" s="284"/>
      <c r="M52" s="285"/>
      <c r="N52" s="283" t="s">
        <v>34</v>
      </c>
      <c r="O52" s="284"/>
      <c r="P52" s="285"/>
      <c r="Q52" s="286">
        <f>B52+H52</f>
        <v>0</v>
      </c>
      <c r="R52" s="285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24.75" customHeight="1" x14ac:dyDescent="0.25">
      <c r="A53" s="287" t="s">
        <v>35</v>
      </c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15.75" customHeight="1" x14ac:dyDescent="0.25">
      <c r="A54" s="49" t="s">
        <v>65</v>
      </c>
      <c r="B54" s="289"/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50" t="s">
        <v>37</v>
      </c>
      <c r="P54" s="289"/>
      <c r="Q54" s="272"/>
      <c r="R54" s="272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51"/>
      <c r="B55" s="38"/>
      <c r="C55" s="38"/>
      <c r="D55" s="52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15.75" customHeight="1" x14ac:dyDescent="0.25">
      <c r="A56" s="51"/>
      <c r="B56" s="38"/>
      <c r="C56" s="38"/>
      <c r="D56" s="52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5.75" customHeight="1" x14ac:dyDescent="0.25">
      <c r="A57" s="278" t="s">
        <v>66</v>
      </c>
      <c r="B57" s="279"/>
      <c r="C57" s="280"/>
      <c r="D57" s="279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281" t="s">
        <v>39</v>
      </c>
      <c r="B58" s="275"/>
      <c r="C58" s="282"/>
      <c r="D58" s="275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spans="1:29" ht="15.75" customHeight="1" x14ac:dyDescent="0.25">
      <c r="A257" s="51"/>
      <c r="B257" s="38"/>
      <c r="C257" s="38"/>
      <c r="D257" s="52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spans="1:29" ht="15.75" customHeight="1" x14ac:dyDescent="0.25">
      <c r="A258" s="51"/>
      <c r="B258" s="38"/>
      <c r="C258" s="38"/>
      <c r="D258" s="52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</row>
    <row r="259" spans="1:29" ht="15.75" customHeight="1" x14ac:dyDescent="0.25"/>
    <row r="260" spans="1:29" ht="15.75" customHeight="1" x14ac:dyDescent="0.25"/>
    <row r="261" spans="1:29" ht="15.75" customHeight="1" x14ac:dyDescent="0.25"/>
    <row r="262" spans="1:29" ht="15.75" customHeight="1" x14ac:dyDescent="0.25"/>
    <row r="263" spans="1:29" ht="15.75" customHeight="1" x14ac:dyDescent="0.25"/>
    <row r="264" spans="1:29" ht="15.75" customHeight="1" x14ac:dyDescent="0.25"/>
    <row r="265" spans="1:29" ht="15.75" customHeight="1" x14ac:dyDescent="0.25"/>
    <row r="266" spans="1:29" ht="15.75" customHeight="1" x14ac:dyDescent="0.25"/>
    <row r="267" spans="1:29" ht="15.75" customHeight="1" x14ac:dyDescent="0.25"/>
    <row r="268" spans="1:29" ht="15.75" customHeight="1" x14ac:dyDescent="0.25"/>
    <row r="269" spans="1:29" ht="15.75" customHeight="1" x14ac:dyDescent="0.25"/>
    <row r="270" spans="1:29" ht="15.75" customHeight="1" x14ac:dyDescent="0.25"/>
    <row r="271" spans="1:29" ht="15.75" customHeight="1" x14ac:dyDescent="0.25"/>
    <row r="272" spans="1:2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7">
    <mergeCell ref="A1:B1"/>
    <mergeCell ref="C1:O1"/>
    <mergeCell ref="P1:R1"/>
    <mergeCell ref="A2:B2"/>
    <mergeCell ref="C2:M2"/>
    <mergeCell ref="N2:R2"/>
    <mergeCell ref="C3:R3"/>
    <mergeCell ref="B5:D5"/>
    <mergeCell ref="E5:G5"/>
    <mergeCell ref="H5:J5"/>
    <mergeCell ref="K5:M5"/>
    <mergeCell ref="B4:D4"/>
    <mergeCell ref="Q4:R7"/>
    <mergeCell ref="B6:D6"/>
    <mergeCell ref="E6:G6"/>
    <mergeCell ref="H6:J6"/>
    <mergeCell ref="K6:M6"/>
    <mergeCell ref="N6:P6"/>
    <mergeCell ref="A3:B3"/>
    <mergeCell ref="E4:G4"/>
    <mergeCell ref="H4:J4"/>
    <mergeCell ref="K4:M4"/>
    <mergeCell ref="N4:P4"/>
    <mergeCell ref="N5:P5"/>
    <mergeCell ref="Q8:R8"/>
    <mergeCell ref="Q9:R9"/>
    <mergeCell ref="Q10:R10"/>
    <mergeCell ref="Q11:R11"/>
    <mergeCell ref="Q12:R12"/>
    <mergeCell ref="Q13:R13"/>
    <mergeCell ref="Q14:R14"/>
    <mergeCell ref="E24:G24"/>
    <mergeCell ref="H24:J24"/>
    <mergeCell ref="Q15:R15"/>
    <mergeCell ref="Q16:R16"/>
    <mergeCell ref="Q17:R17"/>
    <mergeCell ref="Q18:R18"/>
    <mergeCell ref="Q19:R19"/>
    <mergeCell ref="Q20:R20"/>
    <mergeCell ref="Q21:R21"/>
    <mergeCell ref="B25:D25"/>
    <mergeCell ref="E25:G25"/>
    <mergeCell ref="H25:J25"/>
    <mergeCell ref="K24:M24"/>
    <mergeCell ref="N24:P24"/>
    <mergeCell ref="K25:M25"/>
    <mergeCell ref="N25:P25"/>
    <mergeCell ref="Q22:R22"/>
    <mergeCell ref="B23:D23"/>
    <mergeCell ref="E23:G23"/>
    <mergeCell ref="H23:J23"/>
    <mergeCell ref="K23:M23"/>
    <mergeCell ref="N23:P23"/>
    <mergeCell ref="B24:D24"/>
    <mergeCell ref="N43:P43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N49:P49"/>
    <mergeCell ref="Q35:R35"/>
    <mergeCell ref="Q36:R36"/>
    <mergeCell ref="Q37:R37"/>
    <mergeCell ref="Q38:R38"/>
    <mergeCell ref="Q39:R39"/>
    <mergeCell ref="B46:D46"/>
    <mergeCell ref="E46:G46"/>
    <mergeCell ref="H46:J46"/>
    <mergeCell ref="K46:M46"/>
    <mergeCell ref="N46:P46"/>
    <mergeCell ref="Q40:R40"/>
    <mergeCell ref="Q41:R41"/>
    <mergeCell ref="B42:D42"/>
    <mergeCell ref="E42:G42"/>
    <mergeCell ref="H42:J42"/>
    <mergeCell ref="K42:M42"/>
    <mergeCell ref="N42:P42"/>
    <mergeCell ref="H44:J44"/>
    <mergeCell ref="K44:M44"/>
    <mergeCell ref="B43:D43"/>
    <mergeCell ref="E43:G43"/>
    <mergeCell ref="H43:J43"/>
    <mergeCell ref="K43:M43"/>
    <mergeCell ref="B50:D50"/>
    <mergeCell ref="E50:G50"/>
    <mergeCell ref="H50:J50"/>
    <mergeCell ref="K50:M50"/>
    <mergeCell ref="N50:P50"/>
    <mergeCell ref="Q50:R50"/>
    <mergeCell ref="B51:D51"/>
    <mergeCell ref="Q51:R51"/>
    <mergeCell ref="B52:D52"/>
    <mergeCell ref="A57:B57"/>
    <mergeCell ref="C57:D57"/>
    <mergeCell ref="A58:B58"/>
    <mergeCell ref="C58:D58"/>
    <mergeCell ref="E51:G51"/>
    <mergeCell ref="H51:J51"/>
    <mergeCell ref="E52:G52"/>
    <mergeCell ref="H52:J52"/>
    <mergeCell ref="A53:R53"/>
    <mergeCell ref="B54:N54"/>
    <mergeCell ref="P54:R54"/>
    <mergeCell ref="K51:M51"/>
    <mergeCell ref="N51:P51"/>
    <mergeCell ref="K52:M52"/>
    <mergeCell ref="N52:P52"/>
    <mergeCell ref="Q52:R52"/>
    <mergeCell ref="Q49:R49"/>
    <mergeCell ref="E44:G44"/>
    <mergeCell ref="N44:P44"/>
    <mergeCell ref="B44:D44"/>
    <mergeCell ref="B45:D45"/>
    <mergeCell ref="E45:G45"/>
    <mergeCell ref="H45:J45"/>
    <mergeCell ref="K45:M45"/>
    <mergeCell ref="N45:P45"/>
    <mergeCell ref="Q45:R45"/>
    <mergeCell ref="E47:G47"/>
    <mergeCell ref="N47:P47"/>
    <mergeCell ref="B47:D47"/>
    <mergeCell ref="B48:D48"/>
    <mergeCell ref="E48:G48"/>
    <mergeCell ref="H48:J48"/>
    <mergeCell ref="K48:M48"/>
    <mergeCell ref="N48:P48"/>
    <mergeCell ref="B49:D49"/>
    <mergeCell ref="H47:J47"/>
    <mergeCell ref="K47:M47"/>
    <mergeCell ref="E49:G49"/>
    <mergeCell ref="H49:J49"/>
    <mergeCell ref="K49:M49"/>
  </mergeCells>
  <conditionalFormatting sqref="B23 K42:N42">
    <cfRule type="cellIs" dxfId="347" priority="4" operator="greaterThan">
      <formula>0</formula>
    </cfRule>
  </conditionalFormatting>
  <conditionalFormatting sqref="B24 K43:N43">
    <cfRule type="cellIs" dxfId="346" priority="1" operator="greaterThan">
      <formula>1</formula>
    </cfRule>
  </conditionalFormatting>
  <conditionalFormatting sqref="B24:B25 K44:N44">
    <cfRule type="cellIs" dxfId="345" priority="3" operator="greaterThan">
      <formula>0</formula>
    </cfRule>
  </conditionalFormatting>
  <conditionalFormatting sqref="B42">
    <cfRule type="cellIs" dxfId="344" priority="17" operator="greaterThan">
      <formula>0</formula>
    </cfRule>
  </conditionalFormatting>
  <conditionalFormatting sqref="B43">
    <cfRule type="cellIs" dxfId="343" priority="14" operator="greaterThan">
      <formula>1</formula>
    </cfRule>
    <cfRule type="cellIs" dxfId="342" priority="74" operator="greaterThan">
      <formula>1</formula>
    </cfRule>
  </conditionalFormatting>
  <conditionalFormatting sqref="B43:B44">
    <cfRule type="cellIs" dxfId="341" priority="16" operator="greaterThan">
      <formula>0</formula>
    </cfRule>
    <cfRule type="cellIs" dxfId="340" priority="76" operator="greaterThan">
      <formula>0</formula>
    </cfRule>
  </conditionalFormatting>
  <conditionalFormatting sqref="B46">
    <cfRule type="cellIs" dxfId="339" priority="11" operator="greaterThan">
      <formula>0</formula>
    </cfRule>
  </conditionalFormatting>
  <conditionalFormatting sqref="B47">
    <cfRule type="cellIs" dxfId="338" priority="8" operator="greaterThan">
      <formula>1</formula>
    </cfRule>
  </conditionalFormatting>
  <conditionalFormatting sqref="B47:B48">
    <cfRule type="cellIs" dxfId="337" priority="10" operator="greaterThan">
      <formula>0</formula>
    </cfRule>
  </conditionalFormatting>
  <conditionalFormatting sqref="B25:D25">
    <cfRule type="cellIs" dxfId="336" priority="49" operator="greaterThan">
      <formula>0</formula>
    </cfRule>
  </conditionalFormatting>
  <conditionalFormatting sqref="B44:D44">
    <cfRule type="cellIs" dxfId="335" priority="79" operator="greaterThan">
      <formula>0</formula>
    </cfRule>
  </conditionalFormatting>
  <conditionalFormatting sqref="B48:M48">
    <cfRule type="cellIs" dxfId="334" priority="116" operator="greaterThan">
      <formula>0</formula>
    </cfRule>
  </conditionalFormatting>
  <conditionalFormatting sqref="B50:M50">
    <cfRule type="cellIs" dxfId="333" priority="13" operator="greaterThan">
      <formula>0</formula>
    </cfRule>
  </conditionalFormatting>
  <conditionalFormatting sqref="B48:P48 R48">
    <cfRule type="cellIs" dxfId="332" priority="7" operator="greaterThan">
      <formula>0</formula>
    </cfRule>
  </conditionalFormatting>
  <conditionalFormatting sqref="E24">
    <cfRule type="cellIs" dxfId="331" priority="50" operator="greaterThan">
      <formula>1</formula>
    </cfRule>
  </conditionalFormatting>
  <conditionalFormatting sqref="E24:E25">
    <cfRule type="cellIs" dxfId="330" priority="52" operator="greaterThan">
      <formula>0</formula>
    </cfRule>
  </conditionalFormatting>
  <conditionalFormatting sqref="E42">
    <cfRule type="cellIs" dxfId="329" priority="22" operator="greaterThan">
      <formula>0</formula>
    </cfRule>
  </conditionalFormatting>
  <conditionalFormatting sqref="E43">
    <cfRule type="cellIs" dxfId="328" priority="19" operator="greaterThan">
      <formula>1</formula>
    </cfRule>
    <cfRule type="cellIs" dxfId="327" priority="85" operator="greaterThan">
      <formula>1</formula>
    </cfRule>
    <cfRule type="cellIs" dxfId="326" priority="80" operator="greaterThan">
      <formula>1</formula>
    </cfRule>
  </conditionalFormatting>
  <conditionalFormatting sqref="E43:E44">
    <cfRule type="cellIs" dxfId="325" priority="21" operator="greaterThan">
      <formula>0</formula>
    </cfRule>
    <cfRule type="cellIs" dxfId="324" priority="82" operator="greaterThan">
      <formula>0</formula>
    </cfRule>
    <cfRule type="cellIs" dxfId="323" priority="87" operator="greaterThan">
      <formula>0</formula>
    </cfRule>
  </conditionalFormatting>
  <conditionalFormatting sqref="E46">
    <cfRule type="cellIs" dxfId="322" priority="37" operator="greaterThan">
      <formula>0</formula>
    </cfRule>
  </conditionalFormatting>
  <conditionalFormatting sqref="E47">
    <cfRule type="cellIs" dxfId="321" priority="34" operator="greaterThan">
      <formula>1</formula>
    </cfRule>
  </conditionalFormatting>
  <conditionalFormatting sqref="E47:E48">
    <cfRule type="cellIs" dxfId="320" priority="36" operator="greaterThan">
      <formula>0</formula>
    </cfRule>
  </conditionalFormatting>
  <conditionalFormatting sqref="E25:G25">
    <cfRule type="cellIs" dxfId="319" priority="55" operator="greaterThan">
      <formula>0</formula>
    </cfRule>
  </conditionalFormatting>
  <conditionalFormatting sqref="E44:G44">
    <cfRule type="cellIs" dxfId="318" priority="90" operator="greaterThan">
      <formula>0</formula>
    </cfRule>
  </conditionalFormatting>
  <conditionalFormatting sqref="E23:H23">
    <cfRule type="cellIs" dxfId="317" priority="53" operator="greaterThan">
      <formula>0</formula>
    </cfRule>
  </conditionalFormatting>
  <conditionalFormatting sqref="E24:M24">
    <cfRule type="cellIs" dxfId="316" priority="69" operator="greaterThan">
      <formula>0</formula>
    </cfRule>
  </conditionalFormatting>
  <conditionalFormatting sqref="E43:M43">
    <cfRule type="cellIs" dxfId="315" priority="113" operator="greaterThan">
      <formula>0</formula>
    </cfRule>
  </conditionalFormatting>
  <conditionalFormatting sqref="H24">
    <cfRule type="cellIs" dxfId="314" priority="56" operator="greaterThan">
      <formula>1</formula>
    </cfRule>
  </conditionalFormatting>
  <conditionalFormatting sqref="H24:H25">
    <cfRule type="cellIs" dxfId="313" priority="58" operator="greaterThan">
      <formula>0</formula>
    </cfRule>
  </conditionalFormatting>
  <conditionalFormatting sqref="H42">
    <cfRule type="cellIs" dxfId="312" priority="27" operator="greaterThan">
      <formula>0</formula>
    </cfRule>
  </conditionalFormatting>
  <conditionalFormatting sqref="H43">
    <cfRule type="cellIs" dxfId="311" priority="24" operator="greaterThan">
      <formula>1</formula>
    </cfRule>
    <cfRule type="cellIs" dxfId="310" priority="96" operator="greaterThan">
      <formula>1</formula>
    </cfRule>
    <cfRule type="cellIs" dxfId="309" priority="91" operator="greaterThan">
      <formula>1</formula>
    </cfRule>
  </conditionalFormatting>
  <conditionalFormatting sqref="H43:H44">
    <cfRule type="cellIs" dxfId="308" priority="26" operator="greaterThan">
      <formula>0</formula>
    </cfRule>
    <cfRule type="cellIs" dxfId="307" priority="93" operator="greaterThan">
      <formula>0</formula>
    </cfRule>
    <cfRule type="cellIs" dxfId="306" priority="98" operator="greaterThan">
      <formula>0</formula>
    </cfRule>
  </conditionalFormatting>
  <conditionalFormatting sqref="H46">
    <cfRule type="cellIs" dxfId="305" priority="42" operator="greaterThan">
      <formula>0</formula>
    </cfRule>
  </conditionalFormatting>
  <conditionalFormatting sqref="H47">
    <cfRule type="cellIs" dxfId="304" priority="39" operator="greaterThan">
      <formula>1</formula>
    </cfRule>
  </conditionalFormatting>
  <conditionalFormatting sqref="H47:H48">
    <cfRule type="cellIs" dxfId="303" priority="41" operator="greaterThan">
      <formula>0</formula>
    </cfRule>
  </conditionalFormatting>
  <conditionalFormatting sqref="H25:J25">
    <cfRule type="cellIs" dxfId="302" priority="61" operator="greaterThan">
      <formula>0</formula>
    </cfRule>
  </conditionalFormatting>
  <conditionalFormatting sqref="H44:J44">
    <cfRule type="cellIs" dxfId="301" priority="101" operator="greaterThan">
      <formula>0</formula>
    </cfRule>
  </conditionalFormatting>
  <conditionalFormatting sqref="K24">
    <cfRule type="cellIs" dxfId="300" priority="63" operator="greaterThan">
      <formula>1</formula>
    </cfRule>
  </conditionalFormatting>
  <conditionalFormatting sqref="K24:K25">
    <cfRule type="cellIs" dxfId="299" priority="65" operator="greaterThan">
      <formula>0</formula>
    </cfRule>
  </conditionalFormatting>
  <conditionalFormatting sqref="K43">
    <cfRule type="cellIs" dxfId="298" priority="102" operator="greaterThan">
      <formula>1</formula>
    </cfRule>
    <cfRule type="cellIs" dxfId="297" priority="107" operator="greaterThan">
      <formula>1</formula>
    </cfRule>
  </conditionalFormatting>
  <conditionalFormatting sqref="K43:K44">
    <cfRule type="cellIs" dxfId="296" priority="104" operator="greaterThan">
      <formula>0</formula>
    </cfRule>
    <cfRule type="cellIs" dxfId="295" priority="109" operator="greaterThan">
      <formula>0</formula>
    </cfRule>
    <cfRule type="cellIs" dxfId="294" priority="31" operator="greaterThan">
      <formula>0</formula>
    </cfRule>
  </conditionalFormatting>
  <conditionalFormatting sqref="K46">
    <cfRule type="cellIs" dxfId="293" priority="47" operator="greaterThan">
      <formula>0</formula>
    </cfRule>
  </conditionalFormatting>
  <conditionalFormatting sqref="K47">
    <cfRule type="cellIs" dxfId="292" priority="44" operator="greaterThan">
      <formula>1</formula>
    </cfRule>
  </conditionalFormatting>
  <conditionalFormatting sqref="K47:K48">
    <cfRule type="cellIs" dxfId="291" priority="46" operator="greaterThan">
      <formula>0</formula>
    </cfRule>
  </conditionalFormatting>
  <conditionalFormatting sqref="K23:M23">
    <cfRule type="cellIs" dxfId="290" priority="66" operator="greaterThan">
      <formula>0</formula>
    </cfRule>
  </conditionalFormatting>
  <conditionalFormatting sqref="K25:M25">
    <cfRule type="cellIs" dxfId="289" priority="68" operator="greaterThan">
      <formula>0</formula>
    </cfRule>
  </conditionalFormatting>
  <conditionalFormatting sqref="K44:M44">
    <cfRule type="cellIs" dxfId="288" priority="112" operator="greaterThan">
      <formula>0</formula>
    </cfRule>
  </conditionalFormatting>
  <conditionalFormatting sqref="K47:M47">
    <cfRule type="cellIs" dxfId="287" priority="117" operator="greaterThan">
      <formula>0</formula>
    </cfRule>
  </conditionalFormatting>
  <conditionalFormatting sqref="K47:P47">
    <cfRule type="cellIs" dxfId="286" priority="6" operator="greaterThan">
      <formula>0</formula>
    </cfRule>
  </conditionalFormatting>
  <pageMargins left="0.25" right="0.25" top="0.75" bottom="0.75" header="0.3" footer="0.3"/>
  <pageSetup scale="75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AC1000"/>
  <sheetViews>
    <sheetView workbookViewId="0">
      <selection activeCell="H17" sqref="H17"/>
    </sheetView>
  </sheetViews>
  <sheetFormatPr defaultColWidth="14.44140625" defaultRowHeight="15" customHeight="1" x14ac:dyDescent="0.25"/>
  <cols>
    <col min="1" max="1" width="20.44140625" customWidth="1"/>
    <col min="2" max="16" width="5.33203125" customWidth="1"/>
    <col min="17" max="17" width="14.6640625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17.399999999999999" x14ac:dyDescent="0.3">
      <c r="A1" s="311" t="s">
        <v>59</v>
      </c>
      <c r="B1" s="272"/>
      <c r="C1" s="312" t="s">
        <v>1</v>
      </c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313">
        <v>44440</v>
      </c>
      <c r="Q1" s="272"/>
      <c r="R1" s="272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314" t="s">
        <v>2</v>
      </c>
      <c r="B2" s="303"/>
      <c r="C2" s="315" t="s">
        <v>73</v>
      </c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316" t="s">
        <v>74</v>
      </c>
      <c r="O2" s="279"/>
      <c r="P2" s="279"/>
      <c r="Q2" s="279"/>
      <c r="R2" s="300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7.399999999999999" x14ac:dyDescent="0.3">
      <c r="A3" s="325" t="s">
        <v>3</v>
      </c>
      <c r="B3" s="268"/>
      <c r="C3" s="317" t="s">
        <v>75</v>
      </c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70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6.5" customHeight="1" x14ac:dyDescent="0.25">
      <c r="A4" s="2" t="s">
        <v>4</v>
      </c>
      <c r="B4" s="320" t="s">
        <v>76</v>
      </c>
      <c r="C4" s="297"/>
      <c r="D4" s="298"/>
      <c r="E4" s="320" t="e">
        <f>#REF!</f>
        <v>#REF!</v>
      </c>
      <c r="F4" s="297"/>
      <c r="G4" s="298"/>
      <c r="H4" s="320" t="e">
        <f>#REF!</f>
        <v>#REF!</v>
      </c>
      <c r="I4" s="297"/>
      <c r="J4" s="298"/>
      <c r="K4" s="320" t="e">
        <f>#REF!</f>
        <v>#REF!</v>
      </c>
      <c r="L4" s="297"/>
      <c r="M4" s="298"/>
      <c r="N4" s="320" t="e">
        <f>#REF!</f>
        <v>#REF!</v>
      </c>
      <c r="O4" s="297"/>
      <c r="P4" s="298"/>
      <c r="Q4" s="321" t="s">
        <v>5</v>
      </c>
      <c r="R4" s="322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4" t="s">
        <v>6</v>
      </c>
      <c r="B5" s="318">
        <v>119866</v>
      </c>
      <c r="C5" s="319"/>
      <c r="D5" s="308"/>
      <c r="E5" s="318" t="e">
        <f>#REF!</f>
        <v>#REF!</v>
      </c>
      <c r="F5" s="319"/>
      <c r="G5" s="308"/>
      <c r="H5" s="318" t="e">
        <f>#REF!</f>
        <v>#REF!</v>
      </c>
      <c r="I5" s="319"/>
      <c r="J5" s="308"/>
      <c r="K5" s="318" t="e">
        <f>#REF!</f>
        <v>#REF!</v>
      </c>
      <c r="L5" s="319"/>
      <c r="M5" s="308"/>
      <c r="N5" s="318" t="e">
        <f>#REF!</f>
        <v>#REF!</v>
      </c>
      <c r="O5" s="319"/>
      <c r="P5" s="308"/>
      <c r="Q5" s="323"/>
      <c r="R5" s="265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x14ac:dyDescent="0.25">
      <c r="A6" s="5" t="s">
        <v>7</v>
      </c>
      <c r="B6" s="318" t="e">
        <f>#REF!</f>
        <v>#REF!</v>
      </c>
      <c r="C6" s="319"/>
      <c r="D6" s="308"/>
      <c r="E6" s="318" t="e">
        <f>#REF!</f>
        <v>#REF!</v>
      </c>
      <c r="F6" s="319"/>
      <c r="G6" s="308"/>
      <c r="H6" s="318" t="e">
        <f>#REF!</f>
        <v>#REF!</v>
      </c>
      <c r="I6" s="319"/>
      <c r="J6" s="308"/>
      <c r="K6" s="318" t="e">
        <f>#REF!</f>
        <v>#REF!</v>
      </c>
      <c r="L6" s="319"/>
      <c r="M6" s="308"/>
      <c r="N6" s="318" t="e">
        <f>#REF!</f>
        <v>#REF!</v>
      </c>
      <c r="O6" s="319"/>
      <c r="P6" s="308"/>
      <c r="Q6" s="323"/>
      <c r="R6" s="265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x14ac:dyDescent="0.25">
      <c r="A7" s="164"/>
      <c r="B7" s="7" t="s">
        <v>8</v>
      </c>
      <c r="C7" s="8" t="s">
        <v>9</v>
      </c>
      <c r="D7" s="9" t="s">
        <v>10</v>
      </c>
      <c r="E7" s="7" t="s">
        <v>8</v>
      </c>
      <c r="F7" s="8" t="s">
        <v>9</v>
      </c>
      <c r="G7" s="9" t="s">
        <v>10</v>
      </c>
      <c r="H7" s="7" t="s">
        <v>8</v>
      </c>
      <c r="I7" s="8" t="s">
        <v>9</v>
      </c>
      <c r="J7" s="9" t="s">
        <v>10</v>
      </c>
      <c r="K7" s="7" t="s">
        <v>8</v>
      </c>
      <c r="L7" s="8" t="s">
        <v>9</v>
      </c>
      <c r="M7" s="9" t="s">
        <v>10</v>
      </c>
      <c r="N7" s="7" t="s">
        <v>8</v>
      </c>
      <c r="O7" s="8" t="s">
        <v>9</v>
      </c>
      <c r="P7" s="9" t="s">
        <v>10</v>
      </c>
      <c r="Q7" s="324"/>
      <c r="R7" s="273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2" x14ac:dyDescent="0.25">
      <c r="A8" s="10">
        <v>44440</v>
      </c>
      <c r="B8" s="165">
        <v>4</v>
      </c>
      <c r="C8" s="166"/>
      <c r="D8" s="167"/>
      <c r="E8" s="168"/>
      <c r="F8" s="166"/>
      <c r="G8" s="167"/>
      <c r="H8" s="168"/>
      <c r="I8" s="166"/>
      <c r="J8" s="167"/>
      <c r="K8" s="168"/>
      <c r="L8" s="166"/>
      <c r="M8" s="167"/>
      <c r="N8" s="168"/>
      <c r="O8" s="166"/>
      <c r="P8" s="167"/>
      <c r="Q8" s="309"/>
      <c r="R8" s="29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2" x14ac:dyDescent="0.25">
      <c r="A9" s="15">
        <f t="shared" ref="A9:A22" si="0">A8+1</f>
        <v>44441</v>
      </c>
      <c r="B9" s="16">
        <v>4</v>
      </c>
      <c r="C9" s="17"/>
      <c r="D9" s="18"/>
      <c r="E9" s="19"/>
      <c r="F9" s="17"/>
      <c r="G9" s="18"/>
      <c r="H9" s="19"/>
      <c r="I9" s="17"/>
      <c r="J9" s="18"/>
      <c r="K9" s="19"/>
      <c r="L9" s="17"/>
      <c r="M9" s="18"/>
      <c r="N9" s="19"/>
      <c r="O9" s="17"/>
      <c r="P9" s="18"/>
      <c r="Q9" s="310"/>
      <c r="R9" s="27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3.2" x14ac:dyDescent="0.25">
      <c r="A10" s="21">
        <f t="shared" si="0"/>
        <v>44442</v>
      </c>
      <c r="B10" s="165">
        <v>8</v>
      </c>
      <c r="C10" s="22"/>
      <c r="D10" s="23"/>
      <c r="E10" s="24"/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  <c r="Q10" s="295"/>
      <c r="R10" s="27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2" x14ac:dyDescent="0.25">
      <c r="A11" s="21">
        <f t="shared" si="0"/>
        <v>44443</v>
      </c>
      <c r="B11" s="165"/>
      <c r="C11" s="22"/>
      <c r="D11" s="23"/>
      <c r="E11" s="24"/>
      <c r="F11" s="22"/>
      <c r="G11" s="23"/>
      <c r="H11" s="24"/>
      <c r="I11" s="22"/>
      <c r="J11" s="23"/>
      <c r="K11" s="24"/>
      <c r="L11" s="22"/>
      <c r="M11" s="23"/>
      <c r="N11" s="24"/>
      <c r="O11" s="22"/>
      <c r="P11" s="23"/>
      <c r="Q11" s="295"/>
      <c r="R11" s="27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2" x14ac:dyDescent="0.25">
      <c r="A12" s="21">
        <f t="shared" si="0"/>
        <v>44444</v>
      </c>
      <c r="B12" s="165"/>
      <c r="C12" s="22"/>
      <c r="D12" s="23"/>
      <c r="E12" s="24"/>
      <c r="F12" s="22"/>
      <c r="G12" s="23"/>
      <c r="H12" s="24"/>
      <c r="I12" s="22"/>
      <c r="J12" s="23"/>
      <c r="K12" s="24"/>
      <c r="L12" s="22"/>
      <c r="M12" s="23"/>
      <c r="N12" s="24"/>
      <c r="O12" s="22"/>
      <c r="P12" s="23"/>
      <c r="Q12" s="295"/>
      <c r="R12" s="27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2" x14ac:dyDescent="0.25">
      <c r="A13" s="56">
        <f t="shared" si="0"/>
        <v>44445</v>
      </c>
      <c r="B13" s="11"/>
      <c r="C13" s="53"/>
      <c r="D13" s="54"/>
      <c r="E13" s="55"/>
      <c r="F13" s="53"/>
      <c r="G13" s="54"/>
      <c r="H13" s="55"/>
      <c r="I13" s="53"/>
      <c r="J13" s="54"/>
      <c r="K13" s="55"/>
      <c r="L13" s="53"/>
      <c r="M13" s="54"/>
      <c r="N13" s="55"/>
      <c r="O13" s="53"/>
      <c r="P13" s="54"/>
      <c r="Q13" s="301" t="s">
        <v>14</v>
      </c>
      <c r="R13" s="27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2" x14ac:dyDescent="0.25">
      <c r="A14" s="80">
        <f t="shared" si="0"/>
        <v>44446</v>
      </c>
      <c r="B14" s="79">
        <v>8</v>
      </c>
      <c r="C14" s="76"/>
      <c r="D14" s="77"/>
      <c r="E14" s="78"/>
      <c r="F14" s="76"/>
      <c r="G14" s="77"/>
      <c r="H14" s="78"/>
      <c r="I14" s="76"/>
      <c r="J14" s="77"/>
      <c r="K14" s="78"/>
      <c r="L14" s="76"/>
      <c r="M14" s="77"/>
      <c r="N14" s="78"/>
      <c r="O14" s="76"/>
      <c r="P14" s="77"/>
      <c r="Q14" s="292"/>
      <c r="R14" s="29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2" x14ac:dyDescent="0.25">
      <c r="A15" s="21">
        <f t="shared" si="0"/>
        <v>44447</v>
      </c>
      <c r="B15" s="165">
        <v>4</v>
      </c>
      <c r="C15" s="22"/>
      <c r="D15" s="23"/>
      <c r="E15" s="24"/>
      <c r="F15" s="22"/>
      <c r="G15" s="23"/>
      <c r="H15" s="24"/>
      <c r="I15" s="22"/>
      <c r="J15" s="23"/>
      <c r="K15" s="24"/>
      <c r="L15" s="22"/>
      <c r="M15" s="23"/>
      <c r="N15" s="24"/>
      <c r="O15" s="22"/>
      <c r="P15" s="23"/>
      <c r="Q15" s="294"/>
      <c r="R15" s="27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2" x14ac:dyDescent="0.25">
      <c r="A16" s="21">
        <f t="shared" si="0"/>
        <v>44448</v>
      </c>
      <c r="B16" s="165">
        <v>4</v>
      </c>
      <c r="C16" s="22"/>
      <c r="D16" s="23"/>
      <c r="E16" s="24"/>
      <c r="F16" s="22"/>
      <c r="G16" s="23"/>
      <c r="H16" s="24"/>
      <c r="I16" s="22"/>
      <c r="J16" s="23"/>
      <c r="K16" s="24"/>
      <c r="L16" s="22"/>
      <c r="M16" s="23"/>
      <c r="N16" s="24"/>
      <c r="O16" s="22"/>
      <c r="P16" s="23"/>
      <c r="Q16" s="295"/>
      <c r="R16" s="27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3.8" x14ac:dyDescent="0.3">
      <c r="A17" s="21">
        <f t="shared" si="0"/>
        <v>44449</v>
      </c>
      <c r="B17" s="165">
        <v>4</v>
      </c>
      <c r="C17" s="22"/>
      <c r="D17" s="23"/>
      <c r="E17" s="24"/>
      <c r="F17" s="22"/>
      <c r="G17" s="23"/>
      <c r="H17" s="24"/>
      <c r="I17" s="22"/>
      <c r="J17" s="23"/>
      <c r="K17" s="24"/>
      <c r="L17" s="22"/>
      <c r="M17" s="23"/>
      <c r="N17" s="24"/>
      <c r="O17" s="22"/>
      <c r="P17" s="23"/>
      <c r="Q17" s="295"/>
      <c r="R17" s="276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3.8" x14ac:dyDescent="0.3">
      <c r="A18" s="21">
        <f t="shared" si="0"/>
        <v>44450</v>
      </c>
      <c r="B18" s="165"/>
      <c r="C18" s="22"/>
      <c r="D18" s="23"/>
      <c r="E18" s="24"/>
      <c r="F18" s="22"/>
      <c r="G18" s="23"/>
      <c r="H18" s="24"/>
      <c r="I18" s="22"/>
      <c r="J18" s="23"/>
      <c r="K18" s="24"/>
      <c r="L18" s="22"/>
      <c r="M18" s="23"/>
      <c r="N18" s="24"/>
      <c r="O18" s="22"/>
      <c r="P18" s="23"/>
      <c r="Q18" s="294"/>
      <c r="R18" s="276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3.8" x14ac:dyDescent="0.3">
      <c r="A19" s="21">
        <f t="shared" si="0"/>
        <v>44451</v>
      </c>
      <c r="B19" s="165"/>
      <c r="C19" s="22"/>
      <c r="D19" s="23"/>
      <c r="E19" s="24"/>
      <c r="F19" s="22"/>
      <c r="G19" s="23"/>
      <c r="H19" s="24"/>
      <c r="I19" s="22"/>
      <c r="J19" s="23"/>
      <c r="K19" s="24"/>
      <c r="L19" s="22"/>
      <c r="M19" s="23"/>
      <c r="N19" s="24"/>
      <c r="O19" s="22"/>
      <c r="P19" s="23"/>
      <c r="Q19" s="295"/>
      <c r="R19" s="276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3.8" x14ac:dyDescent="0.3">
      <c r="A20" s="21">
        <f t="shared" si="0"/>
        <v>44452</v>
      </c>
      <c r="B20" s="165">
        <v>4</v>
      </c>
      <c r="C20" s="22"/>
      <c r="D20" s="23"/>
      <c r="E20" s="24"/>
      <c r="F20" s="22"/>
      <c r="G20" s="23"/>
      <c r="H20" s="24"/>
      <c r="I20" s="22"/>
      <c r="J20" s="23"/>
      <c r="K20" s="24"/>
      <c r="L20" s="22"/>
      <c r="M20" s="23"/>
      <c r="N20" s="24"/>
      <c r="O20" s="22"/>
      <c r="P20" s="23"/>
      <c r="Q20" s="295"/>
      <c r="R20" s="276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21">
        <f t="shared" si="0"/>
        <v>44453</v>
      </c>
      <c r="B21" s="165">
        <v>8</v>
      </c>
      <c r="C21" s="22"/>
      <c r="D21" s="23"/>
      <c r="E21" s="24"/>
      <c r="F21" s="22"/>
      <c r="G21" s="23"/>
      <c r="H21" s="24"/>
      <c r="I21" s="22"/>
      <c r="J21" s="23"/>
      <c r="K21" s="24"/>
      <c r="L21" s="22"/>
      <c r="M21" s="23"/>
      <c r="N21" s="24"/>
      <c r="O21" s="22"/>
      <c r="P21" s="23"/>
      <c r="Q21" s="295"/>
      <c r="R21" s="276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x14ac:dyDescent="0.3">
      <c r="A22" s="26">
        <f t="shared" si="0"/>
        <v>44454</v>
      </c>
      <c r="B22" s="165">
        <v>4</v>
      </c>
      <c r="C22" s="169"/>
      <c r="D22" s="170"/>
      <c r="E22" s="171"/>
      <c r="F22" s="169"/>
      <c r="G22" s="170"/>
      <c r="H22" s="171"/>
      <c r="I22" s="169"/>
      <c r="J22" s="170"/>
      <c r="K22" s="171"/>
      <c r="L22" s="169"/>
      <c r="M22" s="170"/>
      <c r="N22" s="171"/>
      <c r="O22" s="169"/>
      <c r="P22" s="170"/>
      <c r="Q22" s="307"/>
      <c r="R22" s="308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28" t="s">
        <v>17</v>
      </c>
      <c r="B23" s="302">
        <f>SUM(B8:B22)</f>
        <v>52</v>
      </c>
      <c r="C23" s="297"/>
      <c r="D23" s="298"/>
      <c r="E23" s="302">
        <f>SUM(E8:E22)</f>
        <v>0</v>
      </c>
      <c r="F23" s="297"/>
      <c r="G23" s="298"/>
      <c r="H23" s="302">
        <f>SUM(H8:H22)</f>
        <v>0</v>
      </c>
      <c r="I23" s="297"/>
      <c r="J23" s="298"/>
      <c r="K23" s="302">
        <f>SUM(K8:K22)</f>
        <v>0</v>
      </c>
      <c r="L23" s="297"/>
      <c r="M23" s="298"/>
      <c r="N23" s="302">
        <f>SUM(N8:N22)</f>
        <v>0</v>
      </c>
      <c r="O23" s="297"/>
      <c r="P23" s="298"/>
      <c r="Q23" s="29" t="s">
        <v>18</v>
      </c>
      <c r="R23" s="30">
        <f t="shared" ref="R23:R25" si="1">SUM(B23:P23)</f>
        <v>52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3">
      <c r="A24" s="32" t="s">
        <v>20</v>
      </c>
      <c r="B24" s="277">
        <f>SUM(C8:C23)</f>
        <v>0</v>
      </c>
      <c r="C24" s="275"/>
      <c r="D24" s="276"/>
      <c r="E24" s="277">
        <f>SUM(F8:F23)</f>
        <v>0</v>
      </c>
      <c r="F24" s="275"/>
      <c r="G24" s="276"/>
      <c r="H24" s="277">
        <f>SUM(I8:I23)</f>
        <v>0</v>
      </c>
      <c r="I24" s="275"/>
      <c r="J24" s="276"/>
      <c r="K24" s="277">
        <f>SUM(L8:L23)</f>
        <v>0</v>
      </c>
      <c r="L24" s="275"/>
      <c r="M24" s="276"/>
      <c r="N24" s="277">
        <f>SUM(O8:O23)</f>
        <v>0</v>
      </c>
      <c r="O24" s="275"/>
      <c r="P24" s="276"/>
      <c r="Q24" s="33" t="s">
        <v>21</v>
      </c>
      <c r="R24" s="34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x14ac:dyDescent="0.3">
      <c r="A25" s="35" t="s">
        <v>22</v>
      </c>
      <c r="B25" s="266">
        <f>SUM(D8:D22)</f>
        <v>0</v>
      </c>
      <c r="C25" s="267"/>
      <c r="D25" s="270"/>
      <c r="E25" s="266">
        <f>SUM(G8:G22)</f>
        <v>0</v>
      </c>
      <c r="F25" s="267"/>
      <c r="G25" s="270"/>
      <c r="H25" s="266">
        <f>SUM(J8:J22)</f>
        <v>0</v>
      </c>
      <c r="I25" s="267"/>
      <c r="J25" s="270"/>
      <c r="K25" s="266">
        <f>SUM(M8:M22)</f>
        <v>0</v>
      </c>
      <c r="L25" s="267"/>
      <c r="M25" s="270"/>
      <c r="N25" s="266">
        <f>SUM(P8:P22)</f>
        <v>0</v>
      </c>
      <c r="O25" s="267"/>
      <c r="P25" s="270"/>
      <c r="Q25" s="36" t="s">
        <v>23</v>
      </c>
      <c r="R25" s="37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10">
        <f>A22+1</f>
        <v>44455</v>
      </c>
      <c r="B26" s="172">
        <v>4</v>
      </c>
      <c r="C26" s="173"/>
      <c r="D26" s="174"/>
      <c r="E26" s="175"/>
      <c r="F26" s="173"/>
      <c r="G26" s="174"/>
      <c r="H26" s="175"/>
      <c r="I26" s="173"/>
      <c r="J26" s="174"/>
      <c r="K26" s="175"/>
      <c r="L26" s="173"/>
      <c r="M26" s="174"/>
      <c r="N26" s="175"/>
      <c r="O26" s="173"/>
      <c r="P26" s="174"/>
      <c r="Q26" s="305"/>
      <c r="R26" s="300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21">
        <f t="shared" ref="A27:A40" si="2">A26+1</f>
        <v>44456</v>
      </c>
      <c r="B27" s="172">
        <v>4</v>
      </c>
      <c r="C27" s="22"/>
      <c r="D27" s="23"/>
      <c r="E27" s="24"/>
      <c r="F27" s="22"/>
      <c r="G27" s="23"/>
      <c r="H27" s="24"/>
      <c r="I27" s="22"/>
      <c r="J27" s="23"/>
      <c r="K27" s="24"/>
      <c r="L27" s="22"/>
      <c r="M27" s="23"/>
      <c r="N27" s="24"/>
      <c r="O27" s="22"/>
      <c r="P27" s="23"/>
      <c r="Q27" s="294"/>
      <c r="R27" s="27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21">
        <f t="shared" si="2"/>
        <v>44457</v>
      </c>
      <c r="B28" s="172"/>
      <c r="C28" s="22"/>
      <c r="D28" s="23"/>
      <c r="E28" s="24"/>
      <c r="F28" s="22"/>
      <c r="G28" s="23"/>
      <c r="H28" s="24"/>
      <c r="I28" s="22"/>
      <c r="J28" s="23"/>
      <c r="K28" s="24"/>
      <c r="L28" s="22"/>
      <c r="M28" s="23"/>
      <c r="N28" s="24"/>
      <c r="O28" s="22"/>
      <c r="P28" s="23"/>
      <c r="Q28" s="295"/>
      <c r="R28" s="27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21">
        <f t="shared" si="2"/>
        <v>44458</v>
      </c>
      <c r="B29" s="172"/>
      <c r="C29" s="22"/>
      <c r="D29" s="23"/>
      <c r="E29" s="24"/>
      <c r="F29" s="22"/>
      <c r="G29" s="23"/>
      <c r="H29" s="24"/>
      <c r="I29" s="22"/>
      <c r="J29" s="23"/>
      <c r="K29" s="24"/>
      <c r="L29" s="22"/>
      <c r="M29" s="23"/>
      <c r="N29" s="24"/>
      <c r="O29" s="22"/>
      <c r="P29" s="23"/>
      <c r="Q29" s="295"/>
      <c r="R29" s="27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21">
        <f t="shared" si="2"/>
        <v>44459</v>
      </c>
      <c r="B30" s="172">
        <v>4</v>
      </c>
      <c r="C30" s="22"/>
      <c r="D30" s="23"/>
      <c r="E30" s="24"/>
      <c r="F30" s="22"/>
      <c r="G30" s="23"/>
      <c r="H30" s="24"/>
      <c r="I30" s="22"/>
      <c r="J30" s="23"/>
      <c r="K30" s="24"/>
      <c r="L30" s="22"/>
      <c r="M30" s="23"/>
      <c r="N30" s="24"/>
      <c r="O30" s="22"/>
      <c r="P30" s="23"/>
      <c r="Q30" s="295"/>
      <c r="R30" s="27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21">
        <f t="shared" si="2"/>
        <v>44460</v>
      </c>
      <c r="B31" s="172">
        <v>8</v>
      </c>
      <c r="C31" s="22"/>
      <c r="D31" s="23"/>
      <c r="E31" s="24"/>
      <c r="F31" s="22"/>
      <c r="G31" s="23"/>
      <c r="H31" s="24"/>
      <c r="I31" s="22"/>
      <c r="J31" s="23"/>
      <c r="K31" s="24"/>
      <c r="L31" s="22"/>
      <c r="M31" s="23"/>
      <c r="N31" s="24"/>
      <c r="O31" s="22"/>
      <c r="P31" s="23"/>
      <c r="Q31" s="306"/>
      <c r="R31" s="27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21">
        <f t="shared" si="2"/>
        <v>44461</v>
      </c>
      <c r="B32" s="172">
        <v>4</v>
      </c>
      <c r="C32" s="22"/>
      <c r="D32" s="23"/>
      <c r="E32" s="24"/>
      <c r="F32" s="22"/>
      <c r="G32" s="23"/>
      <c r="H32" s="24"/>
      <c r="I32" s="22"/>
      <c r="J32" s="23"/>
      <c r="K32" s="24"/>
      <c r="L32" s="22"/>
      <c r="M32" s="23"/>
      <c r="N32" s="24"/>
      <c r="O32" s="22"/>
      <c r="P32" s="23"/>
      <c r="Q32" s="295"/>
      <c r="R32" s="27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21">
        <f t="shared" si="2"/>
        <v>44462</v>
      </c>
      <c r="B33" s="172">
        <v>4</v>
      </c>
      <c r="C33" s="22"/>
      <c r="D33" s="23"/>
      <c r="E33" s="24"/>
      <c r="F33" s="22"/>
      <c r="G33" s="23"/>
      <c r="H33" s="24"/>
      <c r="I33" s="22"/>
      <c r="J33" s="23"/>
      <c r="K33" s="24"/>
      <c r="L33" s="22"/>
      <c r="M33" s="23"/>
      <c r="N33" s="24"/>
      <c r="O33" s="22"/>
      <c r="P33" s="23"/>
      <c r="Q33" s="294"/>
      <c r="R33" s="27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21">
        <f t="shared" si="2"/>
        <v>44463</v>
      </c>
      <c r="B34" s="172">
        <v>4</v>
      </c>
      <c r="C34" s="22"/>
      <c r="D34" s="23"/>
      <c r="E34" s="24"/>
      <c r="F34" s="22"/>
      <c r="G34" s="23"/>
      <c r="H34" s="24"/>
      <c r="I34" s="22"/>
      <c r="J34" s="23"/>
      <c r="K34" s="24"/>
      <c r="L34" s="22"/>
      <c r="M34" s="23"/>
      <c r="N34" s="24"/>
      <c r="O34" s="22"/>
      <c r="P34" s="23"/>
      <c r="Q34" s="295"/>
      <c r="R34" s="27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21">
        <f t="shared" si="2"/>
        <v>44464</v>
      </c>
      <c r="B35" s="172"/>
      <c r="C35" s="22"/>
      <c r="D35" s="23"/>
      <c r="E35" s="24"/>
      <c r="F35" s="22"/>
      <c r="G35" s="23"/>
      <c r="H35" s="24"/>
      <c r="I35" s="22"/>
      <c r="J35" s="23"/>
      <c r="K35" s="24"/>
      <c r="L35" s="22"/>
      <c r="M35" s="23"/>
      <c r="N35" s="24"/>
      <c r="O35" s="22"/>
      <c r="P35" s="23"/>
      <c r="Q35" s="295"/>
      <c r="R35" s="27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21">
        <f t="shared" si="2"/>
        <v>44465</v>
      </c>
      <c r="B36" s="172"/>
      <c r="C36" s="22"/>
      <c r="D36" s="23"/>
      <c r="E36" s="24"/>
      <c r="F36" s="22"/>
      <c r="G36" s="23"/>
      <c r="H36" s="24"/>
      <c r="I36" s="22"/>
      <c r="J36" s="23"/>
      <c r="K36" s="24"/>
      <c r="L36" s="22"/>
      <c r="M36" s="23"/>
      <c r="N36" s="24"/>
      <c r="O36" s="22"/>
      <c r="P36" s="23"/>
      <c r="Q36" s="294"/>
      <c r="R36" s="27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21">
        <f t="shared" si="2"/>
        <v>44466</v>
      </c>
      <c r="B37" s="172">
        <v>8</v>
      </c>
      <c r="C37" s="22"/>
      <c r="D37" s="23"/>
      <c r="E37" s="24"/>
      <c r="F37" s="22"/>
      <c r="G37" s="23"/>
      <c r="H37" s="24"/>
      <c r="I37" s="22"/>
      <c r="J37" s="23"/>
      <c r="K37" s="24"/>
      <c r="L37" s="22"/>
      <c r="M37" s="23"/>
      <c r="N37" s="24"/>
      <c r="O37" s="22"/>
      <c r="P37" s="23"/>
      <c r="Q37" s="295"/>
      <c r="R37" s="27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21">
        <f t="shared" si="2"/>
        <v>44467</v>
      </c>
      <c r="B38" s="172">
        <v>8</v>
      </c>
      <c r="C38" s="22"/>
      <c r="D38" s="23"/>
      <c r="E38" s="24"/>
      <c r="F38" s="22"/>
      <c r="G38" s="23"/>
      <c r="H38" s="24"/>
      <c r="I38" s="22"/>
      <c r="J38" s="23"/>
      <c r="K38" s="24"/>
      <c r="L38" s="22"/>
      <c r="M38" s="23"/>
      <c r="N38" s="24"/>
      <c r="O38" s="22"/>
      <c r="P38" s="23"/>
      <c r="Q38" s="295"/>
      <c r="R38" s="27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21">
        <f t="shared" si="2"/>
        <v>44468</v>
      </c>
      <c r="B39" s="172">
        <v>4</v>
      </c>
      <c r="C39" s="22"/>
      <c r="D39" s="23"/>
      <c r="E39" s="24"/>
      <c r="F39" s="22"/>
      <c r="G39" s="23"/>
      <c r="H39" s="24"/>
      <c r="I39" s="22"/>
      <c r="J39" s="23"/>
      <c r="K39" s="24"/>
      <c r="L39" s="22"/>
      <c r="M39" s="23"/>
      <c r="N39" s="24"/>
      <c r="O39" s="22"/>
      <c r="P39" s="23"/>
      <c r="Q39" s="295"/>
      <c r="R39" s="27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x14ac:dyDescent="0.25">
      <c r="A40" s="21">
        <f t="shared" si="2"/>
        <v>44469</v>
      </c>
      <c r="B40" s="172">
        <v>4</v>
      </c>
      <c r="C40" s="22"/>
      <c r="D40" s="23"/>
      <c r="E40" s="24"/>
      <c r="F40" s="22"/>
      <c r="G40" s="23"/>
      <c r="H40" s="24"/>
      <c r="I40" s="22"/>
      <c r="J40" s="23"/>
      <c r="K40" s="24"/>
      <c r="L40" s="22"/>
      <c r="M40" s="23"/>
      <c r="N40" s="24"/>
      <c r="O40" s="22"/>
      <c r="P40" s="23"/>
      <c r="Q40" s="295"/>
      <c r="R40" s="276"/>
      <c r="S40" s="6"/>
      <c r="T40" s="6"/>
      <c r="U40" s="38"/>
      <c r="V40" s="38"/>
      <c r="W40" s="6"/>
      <c r="X40" s="6"/>
      <c r="Y40" s="6"/>
      <c r="Z40" s="6"/>
      <c r="AA40" s="6"/>
      <c r="AB40" s="6"/>
      <c r="AC40" s="6"/>
    </row>
    <row r="41" spans="1:29" ht="15.75" customHeight="1" x14ac:dyDescent="0.25">
      <c r="A41" s="21"/>
      <c r="B41" s="172"/>
      <c r="C41" s="169"/>
      <c r="D41" s="170"/>
      <c r="E41" s="171"/>
      <c r="F41" s="169"/>
      <c r="G41" s="170"/>
      <c r="H41" s="171"/>
      <c r="I41" s="169"/>
      <c r="J41" s="170"/>
      <c r="K41" s="171"/>
      <c r="L41" s="169"/>
      <c r="M41" s="170"/>
      <c r="N41" s="171"/>
      <c r="O41" s="169"/>
      <c r="P41" s="170"/>
      <c r="Q41" s="307"/>
      <c r="R41" s="308"/>
      <c r="S41" s="6"/>
      <c r="T41" s="6"/>
      <c r="U41" s="38"/>
      <c r="V41" s="38"/>
      <c r="W41" s="6"/>
      <c r="X41" s="6"/>
      <c r="Y41" s="6"/>
      <c r="Z41" s="6"/>
      <c r="AA41" s="6"/>
      <c r="AB41" s="6"/>
      <c r="AC41" s="6"/>
    </row>
    <row r="42" spans="1:29" ht="15.75" customHeight="1" x14ac:dyDescent="0.3">
      <c r="A42" s="39" t="s">
        <v>24</v>
      </c>
      <c r="B42" s="296">
        <f>SUM(B26:B41)</f>
        <v>56</v>
      </c>
      <c r="C42" s="297"/>
      <c r="D42" s="298"/>
      <c r="E42" s="302">
        <f>SUM(E26:E41)</f>
        <v>0</v>
      </c>
      <c r="F42" s="297"/>
      <c r="G42" s="303"/>
      <c r="H42" s="296">
        <f>SUM(H26:H41)</f>
        <v>0</v>
      </c>
      <c r="I42" s="297"/>
      <c r="J42" s="298"/>
      <c r="K42" s="302">
        <f>SUM(K26:K41)</f>
        <v>0</v>
      </c>
      <c r="L42" s="297"/>
      <c r="M42" s="303"/>
      <c r="N42" s="302">
        <f>SUM(N26:N41)</f>
        <v>0</v>
      </c>
      <c r="O42" s="297"/>
      <c r="P42" s="303"/>
      <c r="Q42" s="29" t="s">
        <v>18</v>
      </c>
      <c r="R42" s="40">
        <f t="shared" ref="R42:R44" si="3">SUM(B42:P42)</f>
        <v>56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x14ac:dyDescent="0.3">
      <c r="A43" s="41" t="s">
        <v>25</v>
      </c>
      <c r="B43" s="274">
        <f>SUM(C26:C42)</f>
        <v>0</v>
      </c>
      <c r="C43" s="275"/>
      <c r="D43" s="276"/>
      <c r="E43" s="277">
        <f>SUM(F26:F42)</f>
        <v>0</v>
      </c>
      <c r="F43" s="275"/>
      <c r="G43" s="304"/>
      <c r="H43" s="274">
        <f>SUM(I26:I42)</f>
        <v>0</v>
      </c>
      <c r="I43" s="275"/>
      <c r="J43" s="276"/>
      <c r="K43" s="277">
        <f>SUM(L26:L42)</f>
        <v>0</v>
      </c>
      <c r="L43" s="275"/>
      <c r="M43" s="304"/>
      <c r="N43" s="277">
        <f>SUM(O26:O42)</f>
        <v>0</v>
      </c>
      <c r="O43" s="275"/>
      <c r="P43" s="304"/>
      <c r="Q43" s="33" t="s">
        <v>26</v>
      </c>
      <c r="R43" s="42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15.75" customHeight="1" x14ac:dyDescent="0.3">
      <c r="A44" s="43" t="s">
        <v>27</v>
      </c>
      <c r="B44" s="269">
        <f>SUM(D26:D41)</f>
        <v>0</v>
      </c>
      <c r="C44" s="267"/>
      <c r="D44" s="270"/>
      <c r="E44" s="266">
        <f>SUM(G26:G41)</f>
        <v>0</v>
      </c>
      <c r="F44" s="267"/>
      <c r="G44" s="268"/>
      <c r="H44" s="269">
        <f>SUM(J26:J41)</f>
        <v>0</v>
      </c>
      <c r="I44" s="267"/>
      <c r="J44" s="270"/>
      <c r="K44" s="266">
        <f>SUM(M26:M41)</f>
        <v>0</v>
      </c>
      <c r="L44" s="267"/>
      <c r="M44" s="268"/>
      <c r="N44" s="266">
        <f>SUM(P26:P41)</f>
        <v>0</v>
      </c>
      <c r="O44" s="267"/>
      <c r="P44" s="268"/>
      <c r="Q44" s="36" t="s">
        <v>23</v>
      </c>
      <c r="R44" s="44">
        <f t="shared" si="3"/>
        <v>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6.75" customHeight="1" x14ac:dyDescent="0.3">
      <c r="A45" s="176"/>
      <c r="B45" s="271" t="e">
        <f>IF(ISBLANK(B6),"",B6)</f>
        <v>#REF!</v>
      </c>
      <c r="C45" s="272"/>
      <c r="D45" s="273"/>
      <c r="E45" s="271" t="e">
        <f>IF(ISBLANK(E6),"",E6)</f>
        <v>#REF!</v>
      </c>
      <c r="F45" s="272"/>
      <c r="G45" s="273"/>
      <c r="H45" s="271" t="e">
        <f>IF(ISBLANK(H6),"",H6)</f>
        <v>#REF!</v>
      </c>
      <c r="I45" s="272"/>
      <c r="J45" s="273"/>
      <c r="K45" s="271" t="e">
        <f>IF(ISBLANK(K6),"",K6)</f>
        <v>#REF!</v>
      </c>
      <c r="L45" s="272"/>
      <c r="M45" s="273"/>
      <c r="N45" s="271" t="e">
        <f>IF(ISBLANK(N6),"",N6)</f>
        <v>#REF!</v>
      </c>
      <c r="O45" s="272"/>
      <c r="P45" s="273"/>
      <c r="Q45" s="264"/>
      <c r="R45" s="265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3">
      <c r="A46" s="45" t="s">
        <v>28</v>
      </c>
      <c r="B46" s="296">
        <f t="shared" ref="B46:B48" si="4">B23+B42</f>
        <v>108</v>
      </c>
      <c r="C46" s="297"/>
      <c r="D46" s="298"/>
      <c r="E46" s="299">
        <f t="shared" ref="E46:E48" si="5">E23+E42</f>
        <v>0</v>
      </c>
      <c r="F46" s="279"/>
      <c r="G46" s="300"/>
      <c r="H46" s="299">
        <f t="shared" ref="H46:H48" si="6">H23+H42</f>
        <v>0</v>
      </c>
      <c r="I46" s="279"/>
      <c r="J46" s="300"/>
      <c r="K46" s="299">
        <f t="shared" ref="K46:K48" si="7">K23+K42</f>
        <v>0</v>
      </c>
      <c r="L46" s="279"/>
      <c r="M46" s="300"/>
      <c r="N46" s="299">
        <f t="shared" ref="N46:N48" si="8">N23+N42</f>
        <v>0</v>
      </c>
      <c r="O46" s="279"/>
      <c r="P46" s="300"/>
      <c r="Q46" s="29" t="s">
        <v>18</v>
      </c>
      <c r="R46" s="40">
        <f t="shared" ref="R46:R48" si="9">SUM(B46:P46)</f>
        <v>108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x14ac:dyDescent="0.3">
      <c r="A47" s="32" t="s">
        <v>29</v>
      </c>
      <c r="B47" s="277">
        <f t="shared" si="4"/>
        <v>0</v>
      </c>
      <c r="C47" s="275"/>
      <c r="D47" s="276"/>
      <c r="E47" s="274">
        <f t="shared" si="5"/>
        <v>0</v>
      </c>
      <c r="F47" s="275"/>
      <c r="G47" s="276"/>
      <c r="H47" s="274">
        <f t="shared" si="6"/>
        <v>0</v>
      </c>
      <c r="I47" s="275"/>
      <c r="J47" s="276"/>
      <c r="K47" s="274">
        <f t="shared" si="7"/>
        <v>0</v>
      </c>
      <c r="L47" s="275"/>
      <c r="M47" s="276"/>
      <c r="N47" s="274">
        <f t="shared" si="8"/>
        <v>0</v>
      </c>
      <c r="O47" s="275"/>
      <c r="P47" s="276"/>
      <c r="Q47" s="33" t="s">
        <v>26</v>
      </c>
      <c r="R47" s="42">
        <f t="shared" si="9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15.75" customHeight="1" x14ac:dyDescent="0.3">
      <c r="A48" s="46" t="s">
        <v>30</v>
      </c>
      <c r="B48" s="266">
        <f t="shared" si="4"/>
        <v>0</v>
      </c>
      <c r="C48" s="267"/>
      <c r="D48" s="270"/>
      <c r="E48" s="269">
        <f t="shared" si="5"/>
        <v>0</v>
      </c>
      <c r="F48" s="267"/>
      <c r="G48" s="270"/>
      <c r="H48" s="269">
        <f t="shared" si="6"/>
        <v>0</v>
      </c>
      <c r="I48" s="267"/>
      <c r="J48" s="270"/>
      <c r="K48" s="269">
        <f t="shared" si="7"/>
        <v>0</v>
      </c>
      <c r="L48" s="267"/>
      <c r="M48" s="270"/>
      <c r="N48" s="269">
        <f t="shared" si="8"/>
        <v>0</v>
      </c>
      <c r="O48" s="267"/>
      <c r="P48" s="270"/>
      <c r="Q48" s="36" t="s">
        <v>23</v>
      </c>
      <c r="R48" s="44">
        <f t="shared" si="9"/>
        <v>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7.5" customHeight="1" x14ac:dyDescent="0.3">
      <c r="A49" s="47"/>
      <c r="B49" s="271">
        <f>IF(ISBLANK(B10),"",B10)</f>
        <v>8</v>
      </c>
      <c r="C49" s="272"/>
      <c r="D49" s="273"/>
      <c r="E49" s="271" t="str">
        <f>IF(ISBLANK(E10),"",E10)</f>
        <v/>
      </c>
      <c r="F49" s="272"/>
      <c r="G49" s="273"/>
      <c r="H49" s="271" t="str">
        <f>IF(ISBLANK(H10),"",H10)</f>
        <v/>
      </c>
      <c r="I49" s="272"/>
      <c r="J49" s="273"/>
      <c r="K49" s="271" t="str">
        <f>IF(ISBLANK(K10),"",K10)</f>
        <v/>
      </c>
      <c r="L49" s="272"/>
      <c r="M49" s="273"/>
      <c r="N49" s="271" t="str">
        <f>IF(ISBLANK(N10),"",N10)</f>
        <v/>
      </c>
      <c r="O49" s="272"/>
      <c r="P49" s="273"/>
      <c r="Q49" s="264"/>
      <c r="R49" s="265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x14ac:dyDescent="0.3">
      <c r="A50" s="177" t="s">
        <v>31</v>
      </c>
      <c r="B50" s="290">
        <f>SUM(B46:D48)</f>
        <v>108</v>
      </c>
      <c r="C50" s="272"/>
      <c r="D50" s="273"/>
      <c r="E50" s="291">
        <f>SUM(E46:G48)</f>
        <v>0</v>
      </c>
      <c r="F50" s="284"/>
      <c r="G50" s="285"/>
      <c r="H50" s="291">
        <f>SUM(H46:J48)</f>
        <v>0</v>
      </c>
      <c r="I50" s="284"/>
      <c r="J50" s="285"/>
      <c r="K50" s="291">
        <f>SUM(K46:M48)</f>
        <v>0</v>
      </c>
      <c r="L50" s="284"/>
      <c r="M50" s="285"/>
      <c r="N50" s="291">
        <f>SUM(N46:P48)</f>
        <v>0</v>
      </c>
      <c r="O50" s="284"/>
      <c r="P50" s="285"/>
      <c r="Q50" s="286">
        <f t="shared" ref="Q50:Q51" si="10">SUM(B50:P50)</f>
        <v>108</v>
      </c>
      <c r="R50" s="285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x14ac:dyDescent="0.3">
      <c r="A51" s="48" t="s">
        <v>32</v>
      </c>
      <c r="B51" s="283">
        <f>(B46+B48)/((NETWORKDAYS($P$1,EOMONTH($P$1,0), HO))*8)</f>
        <v>0.61363636363636365</v>
      </c>
      <c r="C51" s="284"/>
      <c r="D51" s="285"/>
      <c r="E51" s="283">
        <f>(E46+E48)/((NETWORKDAYS($P$1,EOMONTH($P$1,0), HO))*8)</f>
        <v>0</v>
      </c>
      <c r="F51" s="284"/>
      <c r="G51" s="285"/>
      <c r="H51" s="283">
        <f>(H46+H48)/((NETWORKDAYS($P$1,EOMONTH($P$1,0), HO))*8)</f>
        <v>0</v>
      </c>
      <c r="I51" s="284"/>
      <c r="J51" s="285"/>
      <c r="K51" s="283">
        <f>(K46+K48)/((NETWORKDAYS($P$1,EOMONTH($P$1,0), HO))*8)</f>
        <v>0</v>
      </c>
      <c r="L51" s="284"/>
      <c r="M51" s="285"/>
      <c r="N51" s="283">
        <f>(N46+N48)/((NETWORKDAYS($P$1,EOMONTH($P$1,0), HO))*8)</f>
        <v>0</v>
      </c>
      <c r="O51" s="284"/>
      <c r="P51" s="285"/>
      <c r="Q51" s="283">
        <f t="shared" si="10"/>
        <v>0.61363636363636365</v>
      </c>
      <c r="R51" s="285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15.75" customHeight="1" x14ac:dyDescent="0.3">
      <c r="A52" s="48" t="s">
        <v>33</v>
      </c>
      <c r="B52" s="286">
        <f>R46+R48</f>
        <v>108</v>
      </c>
      <c r="C52" s="284"/>
      <c r="D52" s="285"/>
      <c r="E52" s="283" t="s">
        <v>21</v>
      </c>
      <c r="F52" s="284"/>
      <c r="G52" s="285"/>
      <c r="H52" s="286">
        <f>R47</f>
        <v>0</v>
      </c>
      <c r="I52" s="284"/>
      <c r="J52" s="285"/>
      <c r="K52" s="286">
        <f>R47</f>
        <v>0</v>
      </c>
      <c r="L52" s="284"/>
      <c r="M52" s="285"/>
      <c r="N52" s="283" t="s">
        <v>34</v>
      </c>
      <c r="O52" s="284"/>
      <c r="P52" s="285"/>
      <c r="Q52" s="286">
        <f>B52+H52</f>
        <v>108</v>
      </c>
      <c r="R52" s="285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24.75" customHeight="1" x14ac:dyDescent="0.25">
      <c r="A53" s="287" t="s">
        <v>35</v>
      </c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15.75" customHeight="1" x14ac:dyDescent="0.25">
      <c r="A54" s="49" t="s">
        <v>65</v>
      </c>
      <c r="B54" s="289"/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50" t="s">
        <v>37</v>
      </c>
      <c r="P54" s="289"/>
      <c r="Q54" s="272"/>
      <c r="R54" s="272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51"/>
      <c r="B55" s="38"/>
      <c r="C55" s="38"/>
      <c r="D55" s="52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15.75" customHeight="1" x14ac:dyDescent="0.25">
      <c r="A56" s="51"/>
      <c r="B56" s="38"/>
      <c r="C56" s="38"/>
      <c r="D56" s="52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5.75" customHeight="1" x14ac:dyDescent="0.25">
      <c r="A57" s="278" t="s">
        <v>66</v>
      </c>
      <c r="B57" s="279"/>
      <c r="C57" s="280"/>
      <c r="D57" s="279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281" t="s">
        <v>39</v>
      </c>
      <c r="B58" s="275"/>
      <c r="C58" s="282"/>
      <c r="D58" s="275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spans="1:29" ht="15.75" customHeight="1" x14ac:dyDescent="0.25">
      <c r="A257" s="51"/>
      <c r="B257" s="38"/>
      <c r="C257" s="38"/>
      <c r="D257" s="52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spans="1:29" ht="15.75" customHeight="1" x14ac:dyDescent="0.25">
      <c r="A258" s="51"/>
      <c r="B258" s="38"/>
      <c r="C258" s="38"/>
      <c r="D258" s="52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</row>
    <row r="259" spans="1:29" ht="15.75" customHeight="1" x14ac:dyDescent="0.25"/>
    <row r="260" spans="1:29" ht="15.75" customHeight="1" x14ac:dyDescent="0.25"/>
    <row r="261" spans="1:29" ht="15.75" customHeight="1" x14ac:dyDescent="0.25"/>
    <row r="262" spans="1:29" ht="15.75" customHeight="1" x14ac:dyDescent="0.25"/>
    <row r="263" spans="1:29" ht="15.75" customHeight="1" x14ac:dyDescent="0.25"/>
    <row r="264" spans="1:29" ht="15.75" customHeight="1" x14ac:dyDescent="0.25"/>
    <row r="265" spans="1:29" ht="15.75" customHeight="1" x14ac:dyDescent="0.25"/>
    <row r="266" spans="1:29" ht="15.75" customHeight="1" x14ac:dyDescent="0.25"/>
    <row r="267" spans="1:29" ht="15.75" customHeight="1" x14ac:dyDescent="0.25"/>
    <row r="268" spans="1:29" ht="15.75" customHeight="1" x14ac:dyDescent="0.25"/>
    <row r="269" spans="1:29" ht="15.75" customHeight="1" x14ac:dyDescent="0.25"/>
    <row r="270" spans="1:29" ht="15.75" customHeight="1" x14ac:dyDescent="0.25"/>
    <row r="271" spans="1:29" ht="15.75" customHeight="1" x14ac:dyDescent="0.25"/>
    <row r="272" spans="1:2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7">
    <mergeCell ref="A1:B1"/>
    <mergeCell ref="C1:O1"/>
    <mergeCell ref="P1:R1"/>
    <mergeCell ref="A2:B2"/>
    <mergeCell ref="C2:M2"/>
    <mergeCell ref="N2:R2"/>
    <mergeCell ref="C3:R3"/>
    <mergeCell ref="B5:D5"/>
    <mergeCell ref="E5:G5"/>
    <mergeCell ref="H5:J5"/>
    <mergeCell ref="K5:M5"/>
    <mergeCell ref="B4:D4"/>
    <mergeCell ref="Q4:R7"/>
    <mergeCell ref="B6:D6"/>
    <mergeCell ref="E6:G6"/>
    <mergeCell ref="H6:J6"/>
    <mergeCell ref="K6:M6"/>
    <mergeCell ref="N6:P6"/>
    <mergeCell ref="A3:B3"/>
    <mergeCell ref="E4:G4"/>
    <mergeCell ref="H4:J4"/>
    <mergeCell ref="K4:M4"/>
    <mergeCell ref="N4:P4"/>
    <mergeCell ref="N5:P5"/>
    <mergeCell ref="Q8:R8"/>
    <mergeCell ref="Q9:R9"/>
    <mergeCell ref="Q10:R10"/>
    <mergeCell ref="Q11:R11"/>
    <mergeCell ref="Q12:R12"/>
    <mergeCell ref="Q13:R13"/>
    <mergeCell ref="Q14:R14"/>
    <mergeCell ref="E24:G24"/>
    <mergeCell ref="H24:J24"/>
    <mergeCell ref="Q15:R15"/>
    <mergeCell ref="Q16:R16"/>
    <mergeCell ref="Q17:R17"/>
    <mergeCell ref="Q18:R18"/>
    <mergeCell ref="Q19:R19"/>
    <mergeCell ref="Q20:R20"/>
    <mergeCell ref="Q21:R21"/>
    <mergeCell ref="B25:D25"/>
    <mergeCell ref="E25:G25"/>
    <mergeCell ref="H25:J25"/>
    <mergeCell ref="K24:M24"/>
    <mergeCell ref="N24:P24"/>
    <mergeCell ref="K25:M25"/>
    <mergeCell ref="N25:P25"/>
    <mergeCell ref="Q22:R22"/>
    <mergeCell ref="B23:D23"/>
    <mergeCell ref="E23:G23"/>
    <mergeCell ref="H23:J23"/>
    <mergeCell ref="K23:M23"/>
    <mergeCell ref="N23:P23"/>
    <mergeCell ref="B24:D24"/>
    <mergeCell ref="N43:P43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N49:P49"/>
    <mergeCell ref="Q35:R35"/>
    <mergeCell ref="Q36:R36"/>
    <mergeCell ref="Q37:R37"/>
    <mergeCell ref="Q38:R38"/>
    <mergeCell ref="Q39:R39"/>
    <mergeCell ref="B46:D46"/>
    <mergeCell ref="E46:G46"/>
    <mergeCell ref="H46:J46"/>
    <mergeCell ref="K46:M46"/>
    <mergeCell ref="N46:P46"/>
    <mergeCell ref="Q40:R40"/>
    <mergeCell ref="Q41:R41"/>
    <mergeCell ref="B42:D42"/>
    <mergeCell ref="E42:G42"/>
    <mergeCell ref="H42:J42"/>
    <mergeCell ref="K42:M42"/>
    <mergeCell ref="N42:P42"/>
    <mergeCell ref="H44:J44"/>
    <mergeCell ref="K44:M44"/>
    <mergeCell ref="B43:D43"/>
    <mergeCell ref="E43:G43"/>
    <mergeCell ref="H43:J43"/>
    <mergeCell ref="K43:M43"/>
    <mergeCell ref="B50:D50"/>
    <mergeCell ref="E50:G50"/>
    <mergeCell ref="H50:J50"/>
    <mergeCell ref="K50:M50"/>
    <mergeCell ref="N50:P50"/>
    <mergeCell ref="Q50:R50"/>
    <mergeCell ref="B51:D51"/>
    <mergeCell ref="Q51:R51"/>
    <mergeCell ref="B52:D52"/>
    <mergeCell ref="A57:B57"/>
    <mergeCell ref="C57:D57"/>
    <mergeCell ref="A58:B58"/>
    <mergeCell ref="C58:D58"/>
    <mergeCell ref="E51:G51"/>
    <mergeCell ref="H51:J51"/>
    <mergeCell ref="E52:G52"/>
    <mergeCell ref="H52:J52"/>
    <mergeCell ref="A53:R53"/>
    <mergeCell ref="B54:N54"/>
    <mergeCell ref="P54:R54"/>
    <mergeCell ref="K51:M51"/>
    <mergeCell ref="N51:P51"/>
    <mergeCell ref="K52:M52"/>
    <mergeCell ref="N52:P52"/>
    <mergeCell ref="Q52:R52"/>
    <mergeCell ref="Q49:R49"/>
    <mergeCell ref="E44:G44"/>
    <mergeCell ref="N44:P44"/>
    <mergeCell ref="B44:D44"/>
    <mergeCell ref="B45:D45"/>
    <mergeCell ref="E45:G45"/>
    <mergeCell ref="H45:J45"/>
    <mergeCell ref="K45:M45"/>
    <mergeCell ref="N45:P45"/>
    <mergeCell ref="Q45:R45"/>
    <mergeCell ref="E47:G47"/>
    <mergeCell ref="N47:P47"/>
    <mergeCell ref="B47:D47"/>
    <mergeCell ref="B48:D48"/>
    <mergeCell ref="E48:G48"/>
    <mergeCell ref="H48:J48"/>
    <mergeCell ref="K48:M48"/>
    <mergeCell ref="N48:P48"/>
    <mergeCell ref="B49:D49"/>
    <mergeCell ref="H47:J47"/>
    <mergeCell ref="K47:M47"/>
    <mergeCell ref="E49:G49"/>
    <mergeCell ref="H49:J49"/>
    <mergeCell ref="K49:M49"/>
  </mergeCells>
  <conditionalFormatting sqref="B23">
    <cfRule type="cellIs" dxfId="285" priority="4" operator="greaterThan">
      <formula>0</formula>
    </cfRule>
  </conditionalFormatting>
  <conditionalFormatting sqref="B24">
    <cfRule type="cellIs" dxfId="284" priority="1" operator="greaterThan">
      <formula>1</formula>
    </cfRule>
  </conditionalFormatting>
  <conditionalFormatting sqref="B24:B25">
    <cfRule type="cellIs" dxfId="283" priority="3" operator="greaterThan">
      <formula>0</formula>
    </cfRule>
  </conditionalFormatting>
  <conditionalFormatting sqref="B42">
    <cfRule type="cellIs" dxfId="282" priority="29" operator="greaterThan">
      <formula>0</formula>
    </cfRule>
  </conditionalFormatting>
  <conditionalFormatting sqref="B43">
    <cfRule type="cellIs" dxfId="281" priority="86" operator="greaterThan">
      <formula>1</formula>
    </cfRule>
    <cfRule type="cellIs" dxfId="280" priority="26" operator="greaterThan">
      <formula>1</formula>
    </cfRule>
  </conditionalFormatting>
  <conditionalFormatting sqref="B43:B44">
    <cfRule type="cellIs" dxfId="279" priority="88" operator="greaterThan">
      <formula>0</formula>
    </cfRule>
    <cfRule type="cellIs" dxfId="278" priority="28" operator="greaterThan">
      <formula>0</formula>
    </cfRule>
  </conditionalFormatting>
  <conditionalFormatting sqref="B46">
    <cfRule type="cellIs" dxfId="277" priority="23" operator="greaterThan">
      <formula>0</formula>
    </cfRule>
  </conditionalFormatting>
  <conditionalFormatting sqref="B47">
    <cfRule type="cellIs" dxfId="276" priority="20" operator="greaterThan">
      <formula>1</formula>
    </cfRule>
  </conditionalFormatting>
  <conditionalFormatting sqref="B47:B48">
    <cfRule type="cellIs" dxfId="275" priority="22" operator="greaterThan">
      <formula>0</formula>
    </cfRule>
  </conditionalFormatting>
  <conditionalFormatting sqref="B25:D25">
    <cfRule type="cellIs" dxfId="274" priority="61" operator="greaterThan">
      <formula>0</formula>
    </cfRule>
  </conditionalFormatting>
  <conditionalFormatting sqref="B44:D44">
    <cfRule type="cellIs" dxfId="273" priority="91" operator="greaterThan">
      <formula>0</formula>
    </cfRule>
  </conditionalFormatting>
  <conditionalFormatting sqref="B48:P48 R48">
    <cfRule type="cellIs" dxfId="272" priority="128" operator="greaterThan">
      <formula>0</formula>
    </cfRule>
  </conditionalFormatting>
  <conditionalFormatting sqref="B50:P50">
    <cfRule type="cellIs" dxfId="271" priority="25" operator="greaterThan">
      <formula>0</formula>
    </cfRule>
  </conditionalFormatting>
  <conditionalFormatting sqref="E24">
    <cfRule type="cellIs" dxfId="270" priority="62" operator="greaterThan">
      <formula>1</formula>
    </cfRule>
  </conditionalFormatting>
  <conditionalFormatting sqref="E24:E25">
    <cfRule type="cellIs" dxfId="269" priority="64" operator="greaterThan">
      <formula>0</formula>
    </cfRule>
  </conditionalFormatting>
  <conditionalFormatting sqref="E42">
    <cfRule type="cellIs" dxfId="268" priority="34" operator="greaterThan">
      <formula>0</formula>
    </cfRule>
  </conditionalFormatting>
  <conditionalFormatting sqref="E43">
    <cfRule type="cellIs" dxfId="267" priority="92" operator="greaterThan">
      <formula>1</formula>
    </cfRule>
    <cfRule type="cellIs" dxfId="266" priority="97" operator="greaterThan">
      <formula>1</formula>
    </cfRule>
    <cfRule type="cellIs" dxfId="265" priority="31" operator="greaterThan">
      <formula>1</formula>
    </cfRule>
  </conditionalFormatting>
  <conditionalFormatting sqref="E43:E44">
    <cfRule type="cellIs" dxfId="264" priority="94" operator="greaterThan">
      <formula>0</formula>
    </cfRule>
    <cfRule type="cellIs" dxfId="263" priority="99" operator="greaterThan">
      <formula>0</formula>
    </cfRule>
    <cfRule type="cellIs" dxfId="262" priority="33" operator="greaterThan">
      <formula>0</formula>
    </cfRule>
  </conditionalFormatting>
  <conditionalFormatting sqref="E46">
    <cfRule type="cellIs" dxfId="261" priority="49" operator="greaterThan">
      <formula>0</formula>
    </cfRule>
  </conditionalFormatting>
  <conditionalFormatting sqref="E47">
    <cfRule type="cellIs" dxfId="260" priority="46" operator="greaterThan">
      <formula>1</formula>
    </cfRule>
  </conditionalFormatting>
  <conditionalFormatting sqref="E47:E48">
    <cfRule type="cellIs" dxfId="259" priority="48" operator="greaterThan">
      <formula>0</formula>
    </cfRule>
  </conditionalFormatting>
  <conditionalFormatting sqref="E25:G25">
    <cfRule type="cellIs" dxfId="258" priority="67" operator="greaterThan">
      <formula>0</formula>
    </cfRule>
  </conditionalFormatting>
  <conditionalFormatting sqref="E44:G44">
    <cfRule type="cellIs" dxfId="257" priority="102" operator="greaterThan">
      <formula>0</formula>
    </cfRule>
  </conditionalFormatting>
  <conditionalFormatting sqref="E23:H23">
    <cfRule type="cellIs" dxfId="256" priority="65" operator="greaterThan">
      <formula>0</formula>
    </cfRule>
  </conditionalFormatting>
  <conditionalFormatting sqref="E24:P24">
    <cfRule type="cellIs" dxfId="255" priority="81" operator="greaterThan">
      <formula>0</formula>
    </cfRule>
  </conditionalFormatting>
  <conditionalFormatting sqref="E43:P43">
    <cfRule type="cellIs" dxfId="254" priority="125" operator="greaterThan">
      <formula>0</formula>
    </cfRule>
  </conditionalFormatting>
  <conditionalFormatting sqref="H24">
    <cfRule type="cellIs" dxfId="253" priority="68" operator="greaterThan">
      <formula>1</formula>
    </cfRule>
  </conditionalFormatting>
  <conditionalFormatting sqref="H24:H25">
    <cfRule type="cellIs" dxfId="252" priority="70" operator="greaterThan">
      <formula>0</formula>
    </cfRule>
  </conditionalFormatting>
  <conditionalFormatting sqref="H42">
    <cfRule type="cellIs" dxfId="251" priority="39" operator="greaterThan">
      <formula>0</formula>
    </cfRule>
  </conditionalFormatting>
  <conditionalFormatting sqref="H43">
    <cfRule type="cellIs" dxfId="250" priority="36" operator="greaterThan">
      <formula>1</formula>
    </cfRule>
    <cfRule type="cellIs" dxfId="249" priority="103" operator="greaterThan">
      <formula>1</formula>
    </cfRule>
    <cfRule type="cellIs" dxfId="248" priority="108" operator="greaterThan">
      <formula>1</formula>
    </cfRule>
  </conditionalFormatting>
  <conditionalFormatting sqref="H43:H44">
    <cfRule type="cellIs" dxfId="247" priority="105" operator="greaterThan">
      <formula>0</formula>
    </cfRule>
    <cfRule type="cellIs" dxfId="246" priority="38" operator="greaterThan">
      <formula>0</formula>
    </cfRule>
    <cfRule type="cellIs" dxfId="245" priority="110" operator="greaterThan">
      <formula>0</formula>
    </cfRule>
  </conditionalFormatting>
  <conditionalFormatting sqref="H46">
    <cfRule type="cellIs" dxfId="244" priority="54" operator="greaterThan">
      <formula>0</formula>
    </cfRule>
  </conditionalFormatting>
  <conditionalFormatting sqref="H47">
    <cfRule type="cellIs" dxfId="243" priority="51" operator="greaterThan">
      <formula>1</formula>
    </cfRule>
  </conditionalFormatting>
  <conditionalFormatting sqref="H47:H48">
    <cfRule type="cellIs" dxfId="242" priority="53" operator="greaterThan">
      <formula>0</formula>
    </cfRule>
  </conditionalFormatting>
  <conditionalFormatting sqref="H25:J25">
    <cfRule type="cellIs" dxfId="241" priority="73" operator="greaterThan">
      <formula>0</formula>
    </cfRule>
  </conditionalFormatting>
  <conditionalFormatting sqref="H44:J44">
    <cfRule type="cellIs" dxfId="240" priority="113" operator="greaterThan">
      <formula>0</formula>
    </cfRule>
  </conditionalFormatting>
  <conditionalFormatting sqref="K24:N24">
    <cfRule type="cellIs" dxfId="239" priority="75" operator="greaterThan">
      <formula>1</formula>
    </cfRule>
  </conditionalFormatting>
  <conditionalFormatting sqref="K24:N25">
    <cfRule type="cellIs" dxfId="238" priority="77" operator="greaterThan">
      <formula>0</formula>
    </cfRule>
  </conditionalFormatting>
  <conditionalFormatting sqref="K42:N42">
    <cfRule type="cellIs" dxfId="237" priority="44" operator="greaterThan">
      <formula>0</formula>
    </cfRule>
  </conditionalFormatting>
  <conditionalFormatting sqref="K43:N43">
    <cfRule type="cellIs" dxfId="236" priority="41" operator="greaterThan">
      <formula>1</formula>
    </cfRule>
    <cfRule type="cellIs" dxfId="235" priority="114" operator="greaterThan">
      <formula>1</formula>
    </cfRule>
    <cfRule type="cellIs" dxfId="234" priority="119" operator="greaterThan">
      <formula>1</formula>
    </cfRule>
  </conditionalFormatting>
  <conditionalFormatting sqref="K43:N44">
    <cfRule type="cellIs" dxfId="233" priority="43" operator="greaterThan">
      <formula>0</formula>
    </cfRule>
    <cfRule type="cellIs" dxfId="232" priority="116" operator="greaterThan">
      <formula>0</formula>
    </cfRule>
    <cfRule type="cellIs" dxfId="231" priority="121" operator="greaterThan">
      <formula>0</formula>
    </cfRule>
  </conditionalFormatting>
  <conditionalFormatting sqref="K46:N46">
    <cfRule type="cellIs" dxfId="230" priority="59" operator="greaterThan">
      <formula>0</formula>
    </cfRule>
  </conditionalFormatting>
  <conditionalFormatting sqref="K47:N47">
    <cfRule type="cellIs" dxfId="229" priority="56" operator="greaterThan">
      <formula>1</formula>
    </cfRule>
  </conditionalFormatting>
  <conditionalFormatting sqref="K47:N48">
    <cfRule type="cellIs" dxfId="228" priority="58" operator="greaterThan">
      <formula>0</formula>
    </cfRule>
  </conditionalFormatting>
  <conditionalFormatting sqref="K23:P23">
    <cfRule type="cellIs" dxfId="227" priority="78" operator="greaterThan">
      <formula>0</formula>
    </cfRule>
  </conditionalFormatting>
  <conditionalFormatting sqref="K25:P25">
    <cfRule type="cellIs" dxfId="226" priority="80" operator="greaterThan">
      <formula>0</formula>
    </cfRule>
  </conditionalFormatting>
  <conditionalFormatting sqref="K44:P44">
    <cfRule type="cellIs" dxfId="225" priority="124" operator="greaterThan">
      <formula>0</formula>
    </cfRule>
  </conditionalFormatting>
  <conditionalFormatting sqref="K47:P47">
    <cfRule type="cellIs" dxfId="224" priority="129" operator="greaterThan">
      <formula>0</formula>
    </cfRule>
  </conditionalFormatting>
  <conditionalFormatting sqref="R23">
    <cfRule type="cellIs" dxfId="223" priority="7" operator="greaterThan">
      <formula>0</formula>
    </cfRule>
    <cfRule type="cellIs" dxfId="222" priority="6" operator="greaterThan">
      <formula>0</formula>
    </cfRule>
  </conditionalFormatting>
  <conditionalFormatting sqref="R24">
    <cfRule type="cellIs" dxfId="221" priority="8" operator="greaterThan">
      <formula>0</formula>
    </cfRule>
  </conditionalFormatting>
  <conditionalFormatting sqref="R25">
    <cfRule type="cellIs" dxfId="220" priority="9" operator="greaterThan">
      <formula>0</formula>
    </cfRule>
    <cfRule type="cellIs" dxfId="219" priority="10" operator="greaterThan">
      <formula>0</formula>
    </cfRule>
  </conditionalFormatting>
  <conditionalFormatting sqref="R42">
    <cfRule type="cellIs" dxfId="218" priority="11" operator="greaterThan">
      <formula>0</formula>
    </cfRule>
    <cfRule type="cellIs" dxfId="217" priority="12" operator="greaterThan">
      <formula>0</formula>
    </cfRule>
  </conditionalFormatting>
  <conditionalFormatting sqref="R43">
    <cfRule type="cellIs" dxfId="216" priority="13" operator="greaterThan">
      <formula>0</formula>
    </cfRule>
  </conditionalFormatting>
  <conditionalFormatting sqref="R44">
    <cfRule type="cellIs" dxfId="215" priority="15" operator="greaterThan">
      <formula>0</formula>
    </cfRule>
    <cfRule type="cellIs" dxfId="214" priority="14" operator="greaterThan">
      <formula>0</formula>
    </cfRule>
  </conditionalFormatting>
  <conditionalFormatting sqref="R46">
    <cfRule type="cellIs" dxfId="213" priority="17" operator="greaterThan">
      <formula>0</formula>
    </cfRule>
    <cfRule type="cellIs" dxfId="212" priority="16" operator="greaterThan">
      <formula>0</formula>
    </cfRule>
  </conditionalFormatting>
  <conditionalFormatting sqref="R47">
    <cfRule type="cellIs" dxfId="211" priority="18" operator="greaterThan">
      <formula>0</formula>
    </cfRule>
  </conditionalFormatting>
  <conditionalFormatting sqref="R48">
    <cfRule type="cellIs" dxfId="210" priority="19" operator="greaterThan">
      <formula>0</formula>
    </cfRule>
  </conditionalFormatting>
  <printOptions horizontalCentered="1" gridLines="1"/>
  <pageMargins left="0.25" right="0.25" top="0.75" bottom="0.75" header="0.3" footer="0.3"/>
  <pageSetup scale="83" fitToHeight="0" pageOrder="overThenDown" orientation="portrait" cellComments="atEnd" horizontalDpi="4294967293" vertic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AC999"/>
  <sheetViews>
    <sheetView workbookViewId="0">
      <selection activeCell="Y48" sqref="Y48"/>
    </sheetView>
  </sheetViews>
  <sheetFormatPr defaultColWidth="14.44140625" defaultRowHeight="15" customHeight="1" x14ac:dyDescent="0.25"/>
  <cols>
    <col min="1" max="1" width="20.44140625" customWidth="1"/>
    <col min="2" max="16" width="5.33203125" customWidth="1"/>
    <col min="17" max="17" width="14.6640625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18" thickBot="1" x14ac:dyDescent="0.35">
      <c r="A1" s="311" t="s">
        <v>59</v>
      </c>
      <c r="B1" s="272"/>
      <c r="C1" s="312" t="s">
        <v>1</v>
      </c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313">
        <v>44470</v>
      </c>
      <c r="Q1" s="272"/>
      <c r="R1" s="272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314" t="s">
        <v>2</v>
      </c>
      <c r="B2" s="303"/>
      <c r="C2" s="315" t="s">
        <v>73</v>
      </c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316" t="s">
        <v>61</v>
      </c>
      <c r="O2" s="279"/>
      <c r="P2" s="279"/>
      <c r="Q2" s="279"/>
      <c r="R2" s="300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8" thickBot="1" x14ac:dyDescent="0.35">
      <c r="A3" s="325" t="s">
        <v>3</v>
      </c>
      <c r="B3" s="268"/>
      <c r="C3" s="317" t="s">
        <v>75</v>
      </c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70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6.5" customHeight="1" x14ac:dyDescent="0.25">
      <c r="A4" s="2" t="s">
        <v>4</v>
      </c>
      <c r="B4" s="320" t="s">
        <v>76</v>
      </c>
      <c r="C4" s="297"/>
      <c r="D4" s="298"/>
      <c r="E4" s="320" t="e">
        <f>#REF!</f>
        <v>#REF!</v>
      </c>
      <c r="F4" s="297"/>
      <c r="G4" s="298"/>
      <c r="H4" s="320" t="e">
        <f>#REF!</f>
        <v>#REF!</v>
      </c>
      <c r="I4" s="297"/>
      <c r="J4" s="298"/>
      <c r="K4" s="320" t="e">
        <f>#REF!</f>
        <v>#REF!</v>
      </c>
      <c r="L4" s="297"/>
      <c r="M4" s="298"/>
      <c r="N4" s="320" t="e">
        <f>#REF!</f>
        <v>#REF!</v>
      </c>
      <c r="O4" s="297"/>
      <c r="P4" s="298"/>
      <c r="Q4" s="321" t="s">
        <v>5</v>
      </c>
      <c r="R4" s="322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4" t="s">
        <v>6</v>
      </c>
      <c r="B5" s="318">
        <v>119866</v>
      </c>
      <c r="C5" s="319"/>
      <c r="D5" s="308"/>
      <c r="E5" s="318" t="e">
        <f>#REF!</f>
        <v>#REF!</v>
      </c>
      <c r="F5" s="319"/>
      <c r="G5" s="308"/>
      <c r="H5" s="318" t="e">
        <f>#REF!</f>
        <v>#REF!</v>
      </c>
      <c r="I5" s="319"/>
      <c r="J5" s="308"/>
      <c r="K5" s="318" t="e">
        <f>#REF!</f>
        <v>#REF!</v>
      </c>
      <c r="L5" s="319"/>
      <c r="M5" s="308"/>
      <c r="N5" s="318" t="e">
        <f>#REF!</f>
        <v>#REF!</v>
      </c>
      <c r="O5" s="319"/>
      <c r="P5" s="308"/>
      <c r="Q5" s="323"/>
      <c r="R5" s="265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thickBot="1" x14ac:dyDescent="0.3">
      <c r="A6" s="5" t="s">
        <v>7</v>
      </c>
      <c r="B6" s="318" t="e">
        <f>#REF!</f>
        <v>#REF!</v>
      </c>
      <c r="C6" s="319"/>
      <c r="D6" s="308"/>
      <c r="E6" s="318" t="e">
        <f>#REF!</f>
        <v>#REF!</v>
      </c>
      <c r="F6" s="319"/>
      <c r="G6" s="308"/>
      <c r="H6" s="318" t="e">
        <f>#REF!</f>
        <v>#REF!</v>
      </c>
      <c r="I6" s="319"/>
      <c r="J6" s="308"/>
      <c r="K6" s="318" t="e">
        <f>#REF!</f>
        <v>#REF!</v>
      </c>
      <c r="L6" s="319"/>
      <c r="M6" s="308"/>
      <c r="N6" s="318" t="e">
        <f>#REF!</f>
        <v>#REF!</v>
      </c>
      <c r="O6" s="319"/>
      <c r="P6" s="308"/>
      <c r="Q6" s="323"/>
      <c r="R6" s="265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thickBot="1" x14ac:dyDescent="0.3">
      <c r="A7" s="164"/>
      <c r="B7" s="7" t="s">
        <v>8</v>
      </c>
      <c r="C7" s="8" t="s">
        <v>9</v>
      </c>
      <c r="D7" s="9" t="s">
        <v>10</v>
      </c>
      <c r="E7" s="7" t="s">
        <v>8</v>
      </c>
      <c r="F7" s="8" t="s">
        <v>9</v>
      </c>
      <c r="G7" s="9" t="s">
        <v>10</v>
      </c>
      <c r="H7" s="7" t="s">
        <v>8</v>
      </c>
      <c r="I7" s="8" t="s">
        <v>9</v>
      </c>
      <c r="J7" s="9" t="s">
        <v>10</v>
      </c>
      <c r="K7" s="7" t="s">
        <v>8</v>
      </c>
      <c r="L7" s="8" t="s">
        <v>9</v>
      </c>
      <c r="M7" s="9" t="s">
        <v>10</v>
      </c>
      <c r="N7" s="7" t="s">
        <v>8</v>
      </c>
      <c r="O7" s="8" t="s">
        <v>9</v>
      </c>
      <c r="P7" s="9" t="s">
        <v>10</v>
      </c>
      <c r="Q7" s="324"/>
      <c r="R7" s="273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8" thickBot="1" x14ac:dyDescent="0.3">
      <c r="A8" s="10">
        <v>44470</v>
      </c>
      <c r="B8" s="165">
        <v>4</v>
      </c>
      <c r="C8" s="166"/>
      <c r="D8" s="167"/>
      <c r="E8" s="168"/>
      <c r="F8" s="166"/>
      <c r="G8" s="167"/>
      <c r="H8" s="168"/>
      <c r="I8" s="166"/>
      <c r="J8" s="167"/>
      <c r="K8" s="168"/>
      <c r="L8" s="166"/>
      <c r="M8" s="167"/>
      <c r="N8" s="168"/>
      <c r="O8" s="166"/>
      <c r="P8" s="167"/>
      <c r="Q8" s="309"/>
      <c r="R8" s="29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2" x14ac:dyDescent="0.25">
      <c r="A9" s="10">
        <f t="shared" ref="A9:A22" si="0">A8+1</f>
        <v>44471</v>
      </c>
      <c r="B9" s="16"/>
      <c r="C9" s="17"/>
      <c r="D9" s="18"/>
      <c r="E9" s="19"/>
      <c r="F9" s="17"/>
      <c r="G9" s="18"/>
      <c r="H9" s="19"/>
      <c r="I9" s="17"/>
      <c r="J9" s="18"/>
      <c r="K9" s="19"/>
      <c r="L9" s="17"/>
      <c r="M9" s="18"/>
      <c r="N9" s="19"/>
      <c r="O9" s="17"/>
      <c r="P9" s="18"/>
      <c r="Q9" s="310"/>
      <c r="R9" s="27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3.2" x14ac:dyDescent="0.25">
      <c r="A10" s="21">
        <f t="shared" si="0"/>
        <v>44472</v>
      </c>
      <c r="B10" s="165"/>
      <c r="C10" s="22"/>
      <c r="D10" s="23"/>
      <c r="E10" s="24"/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  <c r="Q10" s="295"/>
      <c r="R10" s="27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2" x14ac:dyDescent="0.25">
      <c r="A11" s="21">
        <f t="shared" si="0"/>
        <v>44473</v>
      </c>
      <c r="B11" s="165">
        <v>4</v>
      </c>
      <c r="C11" s="22"/>
      <c r="D11" s="23"/>
      <c r="E11" s="24"/>
      <c r="F11" s="22"/>
      <c r="G11" s="23"/>
      <c r="H11" s="24"/>
      <c r="I11" s="22"/>
      <c r="J11" s="23"/>
      <c r="K11" s="24"/>
      <c r="L11" s="22"/>
      <c r="M11" s="23"/>
      <c r="N11" s="24"/>
      <c r="O11" s="22"/>
      <c r="P11" s="23"/>
      <c r="Q11" s="295"/>
      <c r="R11" s="27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2" x14ac:dyDescent="0.25">
      <c r="A12" s="21">
        <f t="shared" si="0"/>
        <v>44474</v>
      </c>
      <c r="B12" s="165">
        <v>8</v>
      </c>
      <c r="C12" s="22"/>
      <c r="D12" s="23"/>
      <c r="E12" s="24"/>
      <c r="F12" s="22"/>
      <c r="G12" s="23"/>
      <c r="H12" s="24"/>
      <c r="I12" s="22"/>
      <c r="J12" s="23"/>
      <c r="K12" s="24"/>
      <c r="L12" s="22"/>
      <c r="M12" s="23"/>
      <c r="N12" s="24"/>
      <c r="O12" s="22"/>
      <c r="P12" s="23"/>
      <c r="Q12" s="295"/>
      <c r="R12" s="27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2" x14ac:dyDescent="0.25">
      <c r="A13" s="21">
        <f t="shared" si="0"/>
        <v>44475</v>
      </c>
      <c r="B13" s="165"/>
      <c r="C13" s="22"/>
      <c r="D13" s="23"/>
      <c r="E13" s="24"/>
      <c r="F13" s="22"/>
      <c r="G13" s="23"/>
      <c r="H13" s="24"/>
      <c r="I13" s="22"/>
      <c r="J13" s="23"/>
      <c r="K13" s="24"/>
      <c r="L13" s="22"/>
      <c r="M13" s="23"/>
      <c r="N13" s="24"/>
      <c r="O13" s="22"/>
      <c r="P13" s="23"/>
      <c r="Q13" s="295"/>
      <c r="R13" s="27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2" x14ac:dyDescent="0.25">
      <c r="A14" s="21">
        <f t="shared" si="0"/>
        <v>44476</v>
      </c>
      <c r="B14" s="165"/>
      <c r="C14" s="22"/>
      <c r="D14" s="23"/>
      <c r="E14" s="24"/>
      <c r="F14" s="22"/>
      <c r="G14" s="23"/>
      <c r="H14" s="24"/>
      <c r="I14" s="22"/>
      <c r="J14" s="23"/>
      <c r="K14" s="24"/>
      <c r="L14" s="22"/>
      <c r="M14" s="23"/>
      <c r="N14" s="24"/>
      <c r="O14" s="22"/>
      <c r="P14" s="23"/>
      <c r="Q14" s="295"/>
      <c r="R14" s="27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2" x14ac:dyDescent="0.25">
      <c r="A15" s="21">
        <f t="shared" si="0"/>
        <v>44477</v>
      </c>
      <c r="B15" s="165"/>
      <c r="C15" s="22"/>
      <c r="D15" s="23"/>
      <c r="E15" s="24"/>
      <c r="F15" s="22"/>
      <c r="G15" s="23"/>
      <c r="H15" s="24"/>
      <c r="I15" s="22"/>
      <c r="J15" s="23"/>
      <c r="K15" s="24"/>
      <c r="L15" s="22"/>
      <c r="M15" s="23"/>
      <c r="N15" s="24"/>
      <c r="O15" s="22"/>
      <c r="P15" s="23"/>
      <c r="Q15" s="294"/>
      <c r="R15" s="27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2" x14ac:dyDescent="0.25">
      <c r="A16" s="21">
        <f t="shared" si="0"/>
        <v>44478</v>
      </c>
      <c r="B16" s="165"/>
      <c r="C16" s="22"/>
      <c r="D16" s="23"/>
      <c r="E16" s="24"/>
      <c r="F16" s="22"/>
      <c r="G16" s="23"/>
      <c r="H16" s="24"/>
      <c r="I16" s="22"/>
      <c r="J16" s="23"/>
      <c r="K16" s="24"/>
      <c r="L16" s="22"/>
      <c r="M16" s="23"/>
      <c r="N16" s="24"/>
      <c r="O16" s="22"/>
      <c r="P16" s="23"/>
      <c r="Q16" s="295"/>
      <c r="R16" s="27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3.8" x14ac:dyDescent="0.3">
      <c r="A17" s="21">
        <f t="shared" si="0"/>
        <v>44479</v>
      </c>
      <c r="B17" s="165"/>
      <c r="C17" s="22"/>
      <c r="D17" s="23"/>
      <c r="E17" s="24"/>
      <c r="F17" s="22"/>
      <c r="G17" s="23"/>
      <c r="H17" s="24"/>
      <c r="I17" s="22"/>
      <c r="J17" s="23"/>
      <c r="K17" s="24"/>
      <c r="L17" s="22"/>
      <c r="M17" s="23"/>
      <c r="N17" s="24"/>
      <c r="O17" s="22"/>
      <c r="P17" s="23"/>
      <c r="Q17" s="295"/>
      <c r="R17" s="276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3.8" x14ac:dyDescent="0.3">
      <c r="A18" s="21">
        <f t="shared" si="0"/>
        <v>44480</v>
      </c>
      <c r="B18" s="165"/>
      <c r="C18" s="22"/>
      <c r="D18" s="23"/>
      <c r="E18" s="24"/>
      <c r="F18" s="22"/>
      <c r="G18" s="23"/>
      <c r="H18" s="24"/>
      <c r="I18" s="22"/>
      <c r="J18" s="23"/>
      <c r="K18" s="24"/>
      <c r="L18" s="22"/>
      <c r="M18" s="23"/>
      <c r="N18" s="24"/>
      <c r="O18" s="22"/>
      <c r="P18" s="23"/>
      <c r="Q18" s="295" t="s">
        <v>77</v>
      </c>
      <c r="R18" s="276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3.8" x14ac:dyDescent="0.3">
      <c r="A19" s="21">
        <f t="shared" si="0"/>
        <v>44481</v>
      </c>
      <c r="B19" s="165"/>
      <c r="C19" s="22"/>
      <c r="D19" s="23"/>
      <c r="E19" s="24"/>
      <c r="F19" s="22"/>
      <c r="G19" s="23"/>
      <c r="H19" s="24"/>
      <c r="I19" s="22"/>
      <c r="J19" s="23"/>
      <c r="K19" s="24"/>
      <c r="L19" s="22"/>
      <c r="M19" s="23"/>
      <c r="N19" s="24"/>
      <c r="O19" s="22"/>
      <c r="P19" s="23"/>
      <c r="Q19" s="295"/>
      <c r="R19" s="276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5.75" customHeight="1" x14ac:dyDescent="0.3">
      <c r="A20" s="21">
        <f t="shared" si="0"/>
        <v>44482</v>
      </c>
      <c r="B20" s="165"/>
      <c r="C20" s="22"/>
      <c r="D20" s="23"/>
      <c r="E20" s="24"/>
      <c r="F20" s="22"/>
      <c r="G20" s="23"/>
      <c r="H20" s="24"/>
      <c r="I20" s="22"/>
      <c r="J20" s="23"/>
      <c r="K20" s="24"/>
      <c r="L20" s="22"/>
      <c r="M20" s="23"/>
      <c r="N20" s="24"/>
      <c r="O20" s="22"/>
      <c r="P20" s="23"/>
      <c r="Q20" s="295"/>
      <c r="R20" s="276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21">
        <f t="shared" si="0"/>
        <v>44483</v>
      </c>
      <c r="B21" s="165">
        <v>4</v>
      </c>
      <c r="C21" s="22"/>
      <c r="D21" s="23"/>
      <c r="E21" s="24"/>
      <c r="F21" s="22"/>
      <c r="G21" s="23"/>
      <c r="H21" s="24"/>
      <c r="I21" s="22"/>
      <c r="J21" s="23"/>
      <c r="K21" s="24"/>
      <c r="L21" s="22"/>
      <c r="M21" s="23"/>
      <c r="N21" s="24"/>
      <c r="O21" s="22"/>
      <c r="P21" s="23"/>
      <c r="Q21" s="295"/>
      <c r="R21" s="276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x14ac:dyDescent="0.3">
      <c r="A22" s="26">
        <f t="shared" si="0"/>
        <v>44484</v>
      </c>
      <c r="B22" s="165"/>
      <c r="C22" s="169"/>
      <c r="D22" s="170"/>
      <c r="E22" s="171"/>
      <c r="F22" s="169"/>
      <c r="G22" s="170"/>
      <c r="H22" s="171"/>
      <c r="I22" s="169"/>
      <c r="J22" s="170"/>
      <c r="K22" s="171"/>
      <c r="L22" s="169"/>
      <c r="M22" s="170"/>
      <c r="N22" s="171"/>
      <c r="O22" s="169"/>
      <c r="P22" s="170"/>
      <c r="Q22" s="307"/>
      <c r="R22" s="308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28" t="s">
        <v>17</v>
      </c>
      <c r="B23" s="302">
        <f>SUM(B8:B22)</f>
        <v>20</v>
      </c>
      <c r="C23" s="297"/>
      <c r="D23" s="298"/>
      <c r="E23" s="302">
        <f>SUM(E8:E22)</f>
        <v>0</v>
      </c>
      <c r="F23" s="297"/>
      <c r="G23" s="298"/>
      <c r="H23" s="302">
        <f>SUM(H8:H22)</f>
        <v>0</v>
      </c>
      <c r="I23" s="297"/>
      <c r="J23" s="298"/>
      <c r="K23" s="302">
        <f>SUM(K8:K22)</f>
        <v>0</v>
      </c>
      <c r="L23" s="297"/>
      <c r="M23" s="298"/>
      <c r="N23" s="302">
        <f>SUM(N8:N22)</f>
        <v>0</v>
      </c>
      <c r="O23" s="297"/>
      <c r="P23" s="298"/>
      <c r="Q23" s="29" t="s">
        <v>18</v>
      </c>
      <c r="R23" s="30">
        <f t="shared" ref="R23:R25" si="1">SUM(B23:P23)</f>
        <v>20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3">
      <c r="A24" s="32" t="s">
        <v>20</v>
      </c>
      <c r="B24" s="277">
        <f>SUM(C8:C23)</f>
        <v>0</v>
      </c>
      <c r="C24" s="275"/>
      <c r="D24" s="276"/>
      <c r="E24" s="277">
        <f>SUM(F8:F23)</f>
        <v>0</v>
      </c>
      <c r="F24" s="275"/>
      <c r="G24" s="276"/>
      <c r="H24" s="277">
        <f>SUM(I8:I23)</f>
        <v>0</v>
      </c>
      <c r="I24" s="275"/>
      <c r="J24" s="276"/>
      <c r="K24" s="277">
        <f>SUM(L8:L23)</f>
        <v>0</v>
      </c>
      <c r="L24" s="275"/>
      <c r="M24" s="276"/>
      <c r="N24" s="277">
        <f>SUM(O8:O23)</f>
        <v>0</v>
      </c>
      <c r="O24" s="275"/>
      <c r="P24" s="276"/>
      <c r="Q24" s="33" t="s">
        <v>21</v>
      </c>
      <c r="R24" s="34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x14ac:dyDescent="0.3">
      <c r="A25" s="35" t="s">
        <v>22</v>
      </c>
      <c r="B25" s="266">
        <f>SUM(D8:D22)</f>
        <v>0</v>
      </c>
      <c r="C25" s="267"/>
      <c r="D25" s="270"/>
      <c r="E25" s="266">
        <f>SUM(G8:G22)</f>
        <v>0</v>
      </c>
      <c r="F25" s="267"/>
      <c r="G25" s="270"/>
      <c r="H25" s="266">
        <f>SUM(J8:J22)</f>
        <v>0</v>
      </c>
      <c r="I25" s="267"/>
      <c r="J25" s="270"/>
      <c r="K25" s="266">
        <f>SUM(M8:M22)</f>
        <v>0</v>
      </c>
      <c r="L25" s="267"/>
      <c r="M25" s="270"/>
      <c r="N25" s="266">
        <f>SUM(P8:P22)</f>
        <v>0</v>
      </c>
      <c r="O25" s="267"/>
      <c r="P25" s="270"/>
      <c r="Q25" s="36" t="s">
        <v>23</v>
      </c>
      <c r="R25" s="37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10">
        <f>A22+1</f>
        <v>44485</v>
      </c>
      <c r="B26" s="172"/>
      <c r="C26" s="173"/>
      <c r="D26" s="174"/>
      <c r="E26" s="175"/>
      <c r="F26" s="173"/>
      <c r="G26" s="174"/>
      <c r="H26" s="175"/>
      <c r="I26" s="173"/>
      <c r="J26" s="174"/>
      <c r="K26" s="175"/>
      <c r="L26" s="173"/>
      <c r="M26" s="174"/>
      <c r="N26" s="175"/>
      <c r="O26" s="173"/>
      <c r="P26" s="174"/>
      <c r="Q26" s="305"/>
      <c r="R26" s="300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21">
        <f t="shared" ref="A27:A41" si="2">A26+1</f>
        <v>44486</v>
      </c>
      <c r="B27" s="172"/>
      <c r="C27" s="22"/>
      <c r="D27" s="23"/>
      <c r="E27" s="24"/>
      <c r="F27" s="22"/>
      <c r="G27" s="23"/>
      <c r="H27" s="24"/>
      <c r="I27" s="22"/>
      <c r="J27" s="23"/>
      <c r="K27" s="24"/>
      <c r="L27" s="22"/>
      <c r="M27" s="23"/>
      <c r="N27" s="24"/>
      <c r="O27" s="22"/>
      <c r="P27" s="23"/>
      <c r="Q27" s="294"/>
      <c r="R27" s="27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21">
        <f t="shared" si="2"/>
        <v>44487</v>
      </c>
      <c r="B28" s="172"/>
      <c r="C28" s="22"/>
      <c r="D28" s="23"/>
      <c r="E28" s="24"/>
      <c r="F28" s="22"/>
      <c r="G28" s="23"/>
      <c r="H28" s="24"/>
      <c r="I28" s="22"/>
      <c r="J28" s="23"/>
      <c r="K28" s="24"/>
      <c r="L28" s="22"/>
      <c r="M28" s="23"/>
      <c r="N28" s="24"/>
      <c r="O28" s="22"/>
      <c r="P28" s="23"/>
      <c r="Q28" s="295"/>
      <c r="R28" s="27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21">
        <f t="shared" si="2"/>
        <v>44488</v>
      </c>
      <c r="B29" s="172"/>
      <c r="C29" s="22"/>
      <c r="D29" s="23"/>
      <c r="E29" s="24"/>
      <c r="F29" s="22"/>
      <c r="G29" s="23"/>
      <c r="H29" s="24"/>
      <c r="I29" s="22"/>
      <c r="J29" s="23"/>
      <c r="K29" s="24"/>
      <c r="L29" s="22"/>
      <c r="M29" s="23"/>
      <c r="N29" s="24"/>
      <c r="O29" s="22"/>
      <c r="P29" s="23"/>
      <c r="Q29" s="295"/>
      <c r="R29" s="27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21">
        <f t="shared" si="2"/>
        <v>44489</v>
      </c>
      <c r="B30" s="172"/>
      <c r="C30" s="22"/>
      <c r="D30" s="23"/>
      <c r="E30" s="24"/>
      <c r="F30" s="22"/>
      <c r="G30" s="23"/>
      <c r="H30" s="24"/>
      <c r="I30" s="22"/>
      <c r="J30" s="23"/>
      <c r="K30" s="24"/>
      <c r="L30" s="22"/>
      <c r="M30" s="23"/>
      <c r="N30" s="24"/>
      <c r="O30" s="22"/>
      <c r="P30" s="23"/>
      <c r="Q30" s="295"/>
      <c r="R30" s="27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21">
        <f t="shared" si="2"/>
        <v>44490</v>
      </c>
      <c r="B31" s="172">
        <v>8</v>
      </c>
      <c r="C31" s="22"/>
      <c r="D31" s="23"/>
      <c r="E31" s="24"/>
      <c r="F31" s="22"/>
      <c r="G31" s="23"/>
      <c r="H31" s="24"/>
      <c r="I31" s="22"/>
      <c r="J31" s="23"/>
      <c r="K31" s="24"/>
      <c r="L31" s="22"/>
      <c r="M31" s="23"/>
      <c r="N31" s="24"/>
      <c r="O31" s="22"/>
      <c r="P31" s="23"/>
      <c r="Q31" s="306"/>
      <c r="R31" s="27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21">
        <f t="shared" si="2"/>
        <v>44491</v>
      </c>
      <c r="B32" s="172"/>
      <c r="C32" s="22"/>
      <c r="D32" s="23"/>
      <c r="E32" s="24"/>
      <c r="F32" s="22"/>
      <c r="G32" s="23"/>
      <c r="H32" s="24"/>
      <c r="I32" s="22"/>
      <c r="J32" s="23"/>
      <c r="K32" s="24"/>
      <c r="L32" s="22"/>
      <c r="M32" s="23"/>
      <c r="N32" s="24"/>
      <c r="O32" s="22"/>
      <c r="P32" s="23"/>
      <c r="Q32" s="295"/>
      <c r="R32" s="27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21">
        <f t="shared" si="2"/>
        <v>44492</v>
      </c>
      <c r="B33" s="172"/>
      <c r="C33" s="22"/>
      <c r="D33" s="23"/>
      <c r="E33" s="24"/>
      <c r="F33" s="22"/>
      <c r="G33" s="23"/>
      <c r="H33" s="24"/>
      <c r="I33" s="22"/>
      <c r="J33" s="23"/>
      <c r="K33" s="24"/>
      <c r="L33" s="22"/>
      <c r="M33" s="23"/>
      <c r="N33" s="24"/>
      <c r="O33" s="22"/>
      <c r="P33" s="23"/>
      <c r="Q33" s="294"/>
      <c r="R33" s="27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21">
        <f t="shared" si="2"/>
        <v>44493</v>
      </c>
      <c r="B34" s="172"/>
      <c r="C34" s="22"/>
      <c r="D34" s="23"/>
      <c r="E34" s="24"/>
      <c r="F34" s="22"/>
      <c r="G34" s="23"/>
      <c r="H34" s="24"/>
      <c r="I34" s="22"/>
      <c r="J34" s="23"/>
      <c r="K34" s="24"/>
      <c r="L34" s="22"/>
      <c r="M34" s="23"/>
      <c r="N34" s="24"/>
      <c r="O34" s="22"/>
      <c r="P34" s="23"/>
      <c r="Q34" s="295"/>
      <c r="R34" s="27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21">
        <f t="shared" si="2"/>
        <v>44494</v>
      </c>
      <c r="B35" s="172"/>
      <c r="C35" s="22"/>
      <c r="D35" s="23"/>
      <c r="E35" s="24"/>
      <c r="F35" s="22"/>
      <c r="G35" s="23"/>
      <c r="H35" s="24"/>
      <c r="I35" s="22"/>
      <c r="J35" s="23"/>
      <c r="K35" s="24"/>
      <c r="L35" s="22"/>
      <c r="M35" s="23"/>
      <c r="N35" s="24"/>
      <c r="O35" s="22"/>
      <c r="P35" s="23"/>
      <c r="Q35" s="295"/>
      <c r="R35" s="27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21">
        <f t="shared" si="2"/>
        <v>44495</v>
      </c>
      <c r="B36" s="172"/>
      <c r="C36" s="22"/>
      <c r="D36" s="23"/>
      <c r="E36" s="24"/>
      <c r="F36" s="22"/>
      <c r="G36" s="23"/>
      <c r="H36" s="24"/>
      <c r="I36" s="22"/>
      <c r="J36" s="23"/>
      <c r="K36" s="24"/>
      <c r="L36" s="22"/>
      <c r="M36" s="23"/>
      <c r="N36" s="24"/>
      <c r="O36" s="22"/>
      <c r="P36" s="23"/>
      <c r="Q36" s="294"/>
      <c r="R36" s="27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21">
        <f t="shared" si="2"/>
        <v>44496</v>
      </c>
      <c r="B37" s="172"/>
      <c r="C37" s="22"/>
      <c r="D37" s="23"/>
      <c r="E37" s="24"/>
      <c r="F37" s="22"/>
      <c r="G37" s="23"/>
      <c r="H37" s="24"/>
      <c r="I37" s="22"/>
      <c r="J37" s="23"/>
      <c r="K37" s="24"/>
      <c r="L37" s="22"/>
      <c r="M37" s="23"/>
      <c r="N37" s="24"/>
      <c r="O37" s="22"/>
      <c r="P37" s="23"/>
      <c r="Q37" s="295"/>
      <c r="R37" s="27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21">
        <f t="shared" si="2"/>
        <v>44497</v>
      </c>
      <c r="B38" s="172"/>
      <c r="C38" s="22"/>
      <c r="D38" s="23"/>
      <c r="E38" s="24"/>
      <c r="F38" s="22"/>
      <c r="G38" s="23"/>
      <c r="H38" s="24"/>
      <c r="I38" s="22"/>
      <c r="J38" s="23"/>
      <c r="K38" s="24"/>
      <c r="L38" s="22"/>
      <c r="M38" s="23"/>
      <c r="N38" s="24"/>
      <c r="O38" s="22"/>
      <c r="P38" s="23"/>
      <c r="Q38" s="295"/>
      <c r="R38" s="27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21">
        <f t="shared" si="2"/>
        <v>44498</v>
      </c>
      <c r="B39" s="172"/>
      <c r="C39" s="22"/>
      <c r="D39" s="23"/>
      <c r="E39" s="24"/>
      <c r="F39" s="22"/>
      <c r="G39" s="23"/>
      <c r="H39" s="24"/>
      <c r="I39" s="22"/>
      <c r="J39" s="23"/>
      <c r="K39" s="24"/>
      <c r="L39" s="22"/>
      <c r="M39" s="23"/>
      <c r="N39" s="24"/>
      <c r="O39" s="22"/>
      <c r="P39" s="23"/>
      <c r="Q39" s="295"/>
      <c r="R39" s="27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x14ac:dyDescent="0.25">
      <c r="A40" s="21">
        <f t="shared" si="2"/>
        <v>44499</v>
      </c>
      <c r="B40" s="172"/>
      <c r="C40" s="22"/>
      <c r="D40" s="23"/>
      <c r="E40" s="24"/>
      <c r="F40" s="22"/>
      <c r="G40" s="23"/>
      <c r="H40" s="24"/>
      <c r="I40" s="22"/>
      <c r="J40" s="23"/>
      <c r="K40" s="24"/>
      <c r="L40" s="22"/>
      <c r="M40" s="23"/>
      <c r="N40" s="24"/>
      <c r="O40" s="22"/>
      <c r="P40" s="23"/>
      <c r="Q40" s="295"/>
      <c r="R40" s="276"/>
      <c r="S40" s="6"/>
      <c r="T40" s="6"/>
      <c r="U40" s="38"/>
      <c r="V40" s="38"/>
      <c r="W40" s="6"/>
      <c r="X40" s="6"/>
      <c r="Y40" s="6"/>
      <c r="Z40" s="6"/>
      <c r="AA40" s="6"/>
      <c r="AB40" s="6"/>
      <c r="AC40" s="6"/>
    </row>
    <row r="41" spans="1:29" ht="15.75" customHeight="1" x14ac:dyDescent="0.25">
      <c r="A41" s="21">
        <f t="shared" si="2"/>
        <v>44500</v>
      </c>
      <c r="B41" s="172"/>
      <c r="C41" s="169"/>
      <c r="D41" s="170"/>
      <c r="E41" s="171"/>
      <c r="F41" s="169"/>
      <c r="G41" s="170"/>
      <c r="H41" s="171"/>
      <c r="I41" s="169"/>
      <c r="J41" s="170"/>
      <c r="K41" s="171"/>
      <c r="L41" s="169"/>
      <c r="M41" s="170"/>
      <c r="N41" s="171"/>
      <c r="O41" s="169"/>
      <c r="P41" s="170"/>
      <c r="Q41" s="326" t="s">
        <v>78</v>
      </c>
      <c r="R41" s="308"/>
      <c r="S41" s="6"/>
      <c r="T41" s="6"/>
      <c r="U41" s="38"/>
      <c r="V41" s="38"/>
      <c r="W41" s="6"/>
      <c r="X41" s="6"/>
      <c r="Y41" s="6"/>
      <c r="Z41" s="6"/>
      <c r="AA41" s="6"/>
      <c r="AB41" s="6"/>
      <c r="AC41" s="6"/>
    </row>
    <row r="42" spans="1:29" ht="15.75" customHeight="1" x14ac:dyDescent="0.3">
      <c r="A42" s="39" t="s">
        <v>24</v>
      </c>
      <c r="B42" s="296">
        <f>SUM(B26:B41)</f>
        <v>8</v>
      </c>
      <c r="C42" s="297"/>
      <c r="D42" s="298"/>
      <c r="E42" s="302">
        <f>SUM(E26:E41)</f>
        <v>0</v>
      </c>
      <c r="F42" s="297"/>
      <c r="G42" s="303"/>
      <c r="H42" s="296">
        <f>SUM(H26:H41)</f>
        <v>0</v>
      </c>
      <c r="I42" s="297"/>
      <c r="J42" s="298"/>
      <c r="K42" s="302">
        <f>SUM(K26:K41)</f>
        <v>0</v>
      </c>
      <c r="L42" s="297"/>
      <c r="M42" s="303"/>
      <c r="N42" s="302">
        <f>SUM(N26:N41)</f>
        <v>0</v>
      </c>
      <c r="O42" s="297"/>
      <c r="P42" s="303"/>
      <c r="Q42" s="29" t="s">
        <v>18</v>
      </c>
      <c r="R42" s="40">
        <f t="shared" ref="R42:R44" si="3">SUM(B42:P42)</f>
        <v>8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x14ac:dyDescent="0.3">
      <c r="A43" s="41" t="s">
        <v>25</v>
      </c>
      <c r="B43" s="274">
        <f>SUM(C26:C42)</f>
        <v>0</v>
      </c>
      <c r="C43" s="275"/>
      <c r="D43" s="276"/>
      <c r="E43" s="277">
        <f>SUM(F26:F42)</f>
        <v>0</v>
      </c>
      <c r="F43" s="275"/>
      <c r="G43" s="304"/>
      <c r="H43" s="274">
        <f>SUM(I26:I42)</f>
        <v>0</v>
      </c>
      <c r="I43" s="275"/>
      <c r="J43" s="276"/>
      <c r="K43" s="277">
        <f>SUM(L26:L42)</f>
        <v>0</v>
      </c>
      <c r="L43" s="275"/>
      <c r="M43" s="304"/>
      <c r="N43" s="277">
        <f>SUM(O26:O42)</f>
        <v>0</v>
      </c>
      <c r="O43" s="275"/>
      <c r="P43" s="304"/>
      <c r="Q43" s="33" t="s">
        <v>26</v>
      </c>
      <c r="R43" s="42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15.75" customHeight="1" x14ac:dyDescent="0.3">
      <c r="A44" s="43" t="s">
        <v>27</v>
      </c>
      <c r="B44" s="269">
        <f>SUM(D26:D41)</f>
        <v>0</v>
      </c>
      <c r="C44" s="267"/>
      <c r="D44" s="270"/>
      <c r="E44" s="266">
        <f>SUM(G26:G41)</f>
        <v>0</v>
      </c>
      <c r="F44" s="267"/>
      <c r="G44" s="268"/>
      <c r="H44" s="269">
        <f>SUM(J26:J41)</f>
        <v>0</v>
      </c>
      <c r="I44" s="267"/>
      <c r="J44" s="270"/>
      <c r="K44" s="266">
        <f>SUM(M26:M41)</f>
        <v>0</v>
      </c>
      <c r="L44" s="267"/>
      <c r="M44" s="268"/>
      <c r="N44" s="266">
        <f>SUM(P26:P41)</f>
        <v>0</v>
      </c>
      <c r="O44" s="267"/>
      <c r="P44" s="268"/>
      <c r="Q44" s="36" t="s">
        <v>23</v>
      </c>
      <c r="R44" s="44">
        <f t="shared" si="3"/>
        <v>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3.75" customHeight="1" x14ac:dyDescent="0.3">
      <c r="A45" s="176"/>
      <c r="B45" s="271" t="e">
        <f>IF(ISBLANK(B6),"",B6)</f>
        <v>#REF!</v>
      </c>
      <c r="C45" s="272"/>
      <c r="D45" s="273"/>
      <c r="E45" s="271" t="e">
        <f>IF(ISBLANK(E6),"",E6)</f>
        <v>#REF!</v>
      </c>
      <c r="F45" s="272"/>
      <c r="G45" s="273"/>
      <c r="H45" s="271" t="e">
        <f>IF(ISBLANK(H6),"",H6)</f>
        <v>#REF!</v>
      </c>
      <c r="I45" s="272"/>
      <c r="J45" s="273"/>
      <c r="K45" s="271" t="e">
        <f>IF(ISBLANK(K6),"",K6)</f>
        <v>#REF!</v>
      </c>
      <c r="L45" s="272"/>
      <c r="M45" s="273"/>
      <c r="N45" s="271" t="e">
        <f>IF(ISBLANK(N6),"",N6)</f>
        <v>#REF!</v>
      </c>
      <c r="O45" s="272"/>
      <c r="P45" s="273"/>
      <c r="Q45" s="264"/>
      <c r="R45" s="265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3">
      <c r="A46" s="45" t="s">
        <v>28</v>
      </c>
      <c r="B46" s="296">
        <f t="shared" ref="B46:B48" si="4">B23+B42</f>
        <v>28</v>
      </c>
      <c r="C46" s="297"/>
      <c r="D46" s="298"/>
      <c r="E46" s="299">
        <f t="shared" ref="E46:E48" si="5">E23+E42</f>
        <v>0</v>
      </c>
      <c r="F46" s="279"/>
      <c r="G46" s="300"/>
      <c r="H46" s="299">
        <f t="shared" ref="H46:H48" si="6">H23+H42</f>
        <v>0</v>
      </c>
      <c r="I46" s="279"/>
      <c r="J46" s="300"/>
      <c r="K46" s="299">
        <f t="shared" ref="K46:K48" si="7">K23+K42</f>
        <v>0</v>
      </c>
      <c r="L46" s="279"/>
      <c r="M46" s="300"/>
      <c r="N46" s="299">
        <f t="shared" ref="N46:N48" si="8">N23+N42</f>
        <v>0</v>
      </c>
      <c r="O46" s="279"/>
      <c r="P46" s="300"/>
      <c r="Q46" s="29" t="s">
        <v>18</v>
      </c>
      <c r="R46" s="40">
        <f t="shared" ref="R46:R48" si="9">SUM(B46:P46)</f>
        <v>28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x14ac:dyDescent="0.3">
      <c r="A47" s="32" t="s">
        <v>29</v>
      </c>
      <c r="B47" s="277">
        <f t="shared" si="4"/>
        <v>0</v>
      </c>
      <c r="C47" s="275"/>
      <c r="D47" s="276"/>
      <c r="E47" s="274">
        <f t="shared" si="5"/>
        <v>0</v>
      </c>
      <c r="F47" s="275"/>
      <c r="G47" s="276"/>
      <c r="H47" s="274">
        <f t="shared" si="6"/>
        <v>0</v>
      </c>
      <c r="I47" s="275"/>
      <c r="J47" s="276"/>
      <c r="K47" s="274">
        <f t="shared" si="7"/>
        <v>0</v>
      </c>
      <c r="L47" s="275"/>
      <c r="M47" s="276"/>
      <c r="N47" s="274">
        <f t="shared" si="8"/>
        <v>0</v>
      </c>
      <c r="O47" s="275"/>
      <c r="P47" s="276"/>
      <c r="Q47" s="33" t="s">
        <v>26</v>
      </c>
      <c r="R47" s="42">
        <f t="shared" si="9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15.75" customHeight="1" x14ac:dyDescent="0.3">
      <c r="A48" s="46" t="s">
        <v>30</v>
      </c>
      <c r="B48" s="266">
        <f t="shared" si="4"/>
        <v>0</v>
      </c>
      <c r="C48" s="267"/>
      <c r="D48" s="270"/>
      <c r="E48" s="269">
        <f t="shared" si="5"/>
        <v>0</v>
      </c>
      <c r="F48" s="267"/>
      <c r="G48" s="270"/>
      <c r="H48" s="269">
        <f t="shared" si="6"/>
        <v>0</v>
      </c>
      <c r="I48" s="267"/>
      <c r="J48" s="270"/>
      <c r="K48" s="269">
        <f t="shared" si="7"/>
        <v>0</v>
      </c>
      <c r="L48" s="267"/>
      <c r="M48" s="270"/>
      <c r="N48" s="269">
        <f t="shared" si="8"/>
        <v>0</v>
      </c>
      <c r="O48" s="267"/>
      <c r="P48" s="270"/>
      <c r="Q48" s="36" t="s">
        <v>23</v>
      </c>
      <c r="R48" s="44">
        <f t="shared" si="9"/>
        <v>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7.5" customHeight="1" x14ac:dyDescent="0.3">
      <c r="A49" s="47"/>
      <c r="B49" s="271" t="str">
        <f>IF(ISBLANK(B10),"",B10)</f>
        <v/>
      </c>
      <c r="C49" s="272"/>
      <c r="D49" s="273"/>
      <c r="E49" s="271" t="str">
        <f>IF(ISBLANK(E10),"",E10)</f>
        <v/>
      </c>
      <c r="F49" s="272"/>
      <c r="G49" s="273"/>
      <c r="H49" s="271" t="str">
        <f>IF(ISBLANK(H10),"",H10)</f>
        <v/>
      </c>
      <c r="I49" s="272"/>
      <c r="J49" s="273"/>
      <c r="K49" s="271" t="str">
        <f>IF(ISBLANK(K10),"",K10)</f>
        <v/>
      </c>
      <c r="L49" s="272"/>
      <c r="M49" s="273"/>
      <c r="N49" s="271" t="str">
        <f>IF(ISBLANK(N10),"",N10)</f>
        <v/>
      </c>
      <c r="O49" s="272"/>
      <c r="P49" s="273"/>
      <c r="Q49" s="264"/>
      <c r="R49" s="265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x14ac:dyDescent="0.3">
      <c r="A50" s="177" t="s">
        <v>31</v>
      </c>
      <c r="B50" s="290">
        <f>SUM(B46:D48)</f>
        <v>28</v>
      </c>
      <c r="C50" s="272"/>
      <c r="D50" s="273"/>
      <c r="E50" s="291">
        <f>SUM(E46:G48)</f>
        <v>0</v>
      </c>
      <c r="F50" s="284"/>
      <c r="G50" s="285"/>
      <c r="H50" s="291">
        <f>SUM(H46:J48)</f>
        <v>0</v>
      </c>
      <c r="I50" s="284"/>
      <c r="J50" s="285"/>
      <c r="K50" s="291">
        <f>SUM(K46:M48)</f>
        <v>0</v>
      </c>
      <c r="L50" s="284"/>
      <c r="M50" s="285"/>
      <c r="N50" s="291">
        <f>SUM(N46:P48)</f>
        <v>0</v>
      </c>
      <c r="O50" s="284"/>
      <c r="P50" s="285"/>
      <c r="Q50" s="286">
        <f t="shared" ref="Q50:Q51" si="10">SUM(B50:P50)</f>
        <v>28</v>
      </c>
      <c r="R50" s="285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x14ac:dyDescent="0.3">
      <c r="A51" s="48" t="s">
        <v>32</v>
      </c>
      <c r="B51" s="283">
        <f>(B46+B48)/((NETWORKDAYS($P$1,EOMONTH($P$1,0), HO))*8)</f>
        <v>0.16666666666666666</v>
      </c>
      <c r="C51" s="284"/>
      <c r="D51" s="285"/>
      <c r="E51" s="283">
        <f>(E46+E48)/((NETWORKDAYS($P$1,EOMONTH($P$1,0), HO))*8)</f>
        <v>0</v>
      </c>
      <c r="F51" s="284"/>
      <c r="G51" s="285"/>
      <c r="H51" s="283">
        <f>(H46+H48)/((NETWORKDAYS($P$1,EOMONTH($P$1,0), HO))*8)</f>
        <v>0</v>
      </c>
      <c r="I51" s="284"/>
      <c r="J51" s="285"/>
      <c r="K51" s="283">
        <f>(K46+K48)/((NETWORKDAYS($P$1,EOMONTH($P$1,0), HO))*8)</f>
        <v>0</v>
      </c>
      <c r="L51" s="284"/>
      <c r="M51" s="285"/>
      <c r="N51" s="283">
        <f>(N46+N48)/((NETWORKDAYS($P$1,EOMONTH($P$1,0), HO))*8)</f>
        <v>0</v>
      </c>
      <c r="O51" s="284"/>
      <c r="P51" s="285"/>
      <c r="Q51" s="283">
        <f t="shared" si="10"/>
        <v>0.16666666666666666</v>
      </c>
      <c r="R51" s="285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15.75" customHeight="1" x14ac:dyDescent="0.3">
      <c r="A52" s="48" t="s">
        <v>33</v>
      </c>
      <c r="B52" s="286">
        <f>R46+R48</f>
        <v>28</v>
      </c>
      <c r="C52" s="284"/>
      <c r="D52" s="285"/>
      <c r="E52" s="283" t="s">
        <v>21</v>
      </c>
      <c r="F52" s="284"/>
      <c r="G52" s="285"/>
      <c r="H52" s="286">
        <f>R47</f>
        <v>0</v>
      </c>
      <c r="I52" s="284"/>
      <c r="J52" s="285"/>
      <c r="K52" s="286">
        <f>R47</f>
        <v>0</v>
      </c>
      <c r="L52" s="284"/>
      <c r="M52" s="285"/>
      <c r="N52" s="283" t="s">
        <v>34</v>
      </c>
      <c r="O52" s="284"/>
      <c r="P52" s="285"/>
      <c r="Q52" s="286">
        <f>B52+H52</f>
        <v>28</v>
      </c>
      <c r="R52" s="285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24.75" customHeight="1" x14ac:dyDescent="0.25">
      <c r="A53" s="287" t="s">
        <v>35</v>
      </c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15.75" customHeight="1" x14ac:dyDescent="0.25">
      <c r="A54" s="49" t="s">
        <v>65</v>
      </c>
      <c r="B54" s="289"/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50" t="s">
        <v>37</v>
      </c>
      <c r="P54" s="289"/>
      <c r="Q54" s="272"/>
      <c r="R54" s="272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51"/>
      <c r="B55" s="38"/>
      <c r="C55" s="38"/>
      <c r="D55" s="52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15.75" customHeight="1" x14ac:dyDescent="0.25">
      <c r="A56" s="278" t="s">
        <v>66</v>
      </c>
      <c r="B56" s="279"/>
      <c r="C56" s="280"/>
      <c r="D56" s="279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5.75" customHeight="1" x14ac:dyDescent="0.25">
      <c r="A57" s="281" t="s">
        <v>39</v>
      </c>
      <c r="B57" s="275"/>
      <c r="C57" s="282"/>
      <c r="D57" s="275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51"/>
      <c r="B58" s="38"/>
      <c r="C58" s="38"/>
      <c r="D58" s="52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spans="1:29" ht="15.75" customHeight="1" x14ac:dyDescent="0.25">
      <c r="A257" s="51"/>
      <c r="B257" s="38"/>
      <c r="C257" s="38"/>
      <c r="D257" s="52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spans="1:29" ht="15.75" customHeight="1" x14ac:dyDescent="0.25"/>
    <row r="259" spans="1:29" ht="15.75" customHeight="1" x14ac:dyDescent="0.25"/>
    <row r="260" spans="1:29" ht="15.75" customHeight="1" x14ac:dyDescent="0.25"/>
    <row r="261" spans="1:29" ht="15.75" customHeight="1" x14ac:dyDescent="0.25"/>
    <row r="262" spans="1:29" ht="15.75" customHeight="1" x14ac:dyDescent="0.25"/>
    <row r="263" spans="1:29" ht="15.75" customHeight="1" x14ac:dyDescent="0.25"/>
    <row r="264" spans="1:29" ht="15.75" customHeight="1" x14ac:dyDescent="0.25"/>
    <row r="265" spans="1:29" ht="15.75" customHeight="1" x14ac:dyDescent="0.25"/>
    <row r="266" spans="1:29" ht="15.75" customHeight="1" x14ac:dyDescent="0.25"/>
    <row r="267" spans="1:29" ht="15.75" customHeight="1" x14ac:dyDescent="0.25"/>
    <row r="268" spans="1:29" ht="15.75" customHeight="1" x14ac:dyDescent="0.25"/>
    <row r="269" spans="1:29" ht="15.75" customHeight="1" x14ac:dyDescent="0.25"/>
    <row r="270" spans="1:29" ht="15.75" customHeight="1" x14ac:dyDescent="0.25"/>
    <row r="271" spans="1:29" ht="15.75" customHeight="1" x14ac:dyDescent="0.25"/>
    <row r="272" spans="1:2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37">
    <mergeCell ref="N6:P6"/>
    <mergeCell ref="A1:B1"/>
    <mergeCell ref="C1:O1"/>
    <mergeCell ref="P1:R1"/>
    <mergeCell ref="A2:B2"/>
    <mergeCell ref="C2:M2"/>
    <mergeCell ref="N2:R2"/>
    <mergeCell ref="C3:R3"/>
    <mergeCell ref="A3:B3"/>
    <mergeCell ref="E4:G4"/>
    <mergeCell ref="H4:J4"/>
    <mergeCell ref="K4:M4"/>
    <mergeCell ref="N4:P4"/>
    <mergeCell ref="N5:P5"/>
    <mergeCell ref="Q4:R7"/>
    <mergeCell ref="B5:D5"/>
    <mergeCell ref="E5:G5"/>
    <mergeCell ref="H5:J5"/>
    <mergeCell ref="K5:M5"/>
    <mergeCell ref="B4:D4"/>
    <mergeCell ref="B6:D6"/>
    <mergeCell ref="E6:G6"/>
    <mergeCell ref="H6:J6"/>
    <mergeCell ref="K6:M6"/>
    <mergeCell ref="Q8:R8"/>
    <mergeCell ref="Q9:R9"/>
    <mergeCell ref="Q10:R10"/>
    <mergeCell ref="Q11:R11"/>
    <mergeCell ref="Q12:R12"/>
    <mergeCell ref="Q13:R13"/>
    <mergeCell ref="Q21:R21"/>
    <mergeCell ref="Q22:R22"/>
    <mergeCell ref="B23:D23"/>
    <mergeCell ref="E23:G23"/>
    <mergeCell ref="H23:J23"/>
    <mergeCell ref="K23:M23"/>
    <mergeCell ref="N23:P23"/>
    <mergeCell ref="Q14:R14"/>
    <mergeCell ref="Q15:R15"/>
    <mergeCell ref="Q16:R16"/>
    <mergeCell ref="Q17:R17"/>
    <mergeCell ref="Q18:R18"/>
    <mergeCell ref="Q19:R19"/>
    <mergeCell ref="Q20:R20"/>
    <mergeCell ref="H44:J44"/>
    <mergeCell ref="K44:M44"/>
    <mergeCell ref="B43:D43"/>
    <mergeCell ref="E43:G43"/>
    <mergeCell ref="H43:J43"/>
    <mergeCell ref="K43:M43"/>
    <mergeCell ref="N43:P43"/>
    <mergeCell ref="E44:G44"/>
    <mergeCell ref="N44:P44"/>
    <mergeCell ref="B44:D44"/>
    <mergeCell ref="H25:J25"/>
    <mergeCell ref="K25:M25"/>
    <mergeCell ref="B24:D24"/>
    <mergeCell ref="E24:G24"/>
    <mergeCell ref="H24:J24"/>
    <mergeCell ref="K24:M24"/>
    <mergeCell ref="N24:P24"/>
    <mergeCell ref="B25:D25"/>
    <mergeCell ref="E25:G25"/>
    <mergeCell ref="N25:P25"/>
    <mergeCell ref="B50:D50"/>
    <mergeCell ref="E50:G50"/>
    <mergeCell ref="H50:J50"/>
    <mergeCell ref="K50:M50"/>
    <mergeCell ref="N50:P50"/>
    <mergeCell ref="Q50:R50"/>
    <mergeCell ref="B51:D51"/>
    <mergeCell ref="Q51:R51"/>
    <mergeCell ref="B52:D52"/>
    <mergeCell ref="A56:B56"/>
    <mergeCell ref="C56:D56"/>
    <mergeCell ref="A57:B57"/>
    <mergeCell ref="C57:D57"/>
    <mergeCell ref="E51:G51"/>
    <mergeCell ref="H51:J51"/>
    <mergeCell ref="E52:G52"/>
    <mergeCell ref="H52:J52"/>
    <mergeCell ref="A53:R53"/>
    <mergeCell ref="B54:N54"/>
    <mergeCell ref="P54:R54"/>
    <mergeCell ref="K51:M51"/>
    <mergeCell ref="N51:P51"/>
    <mergeCell ref="K52:M52"/>
    <mergeCell ref="N52:P52"/>
    <mergeCell ref="Q52:R52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B42:D42"/>
    <mergeCell ref="E42:G42"/>
    <mergeCell ref="H42:J42"/>
    <mergeCell ref="K42:M42"/>
    <mergeCell ref="N42:P42"/>
    <mergeCell ref="Q45:R45"/>
    <mergeCell ref="E49:G49"/>
    <mergeCell ref="H49:J49"/>
    <mergeCell ref="Q49:R49"/>
    <mergeCell ref="K49:M49"/>
    <mergeCell ref="N49:P49"/>
    <mergeCell ref="N46:P46"/>
    <mergeCell ref="E47:G47"/>
    <mergeCell ref="N47:P47"/>
    <mergeCell ref="E46:G46"/>
    <mergeCell ref="H46:J46"/>
    <mergeCell ref="K46:M46"/>
    <mergeCell ref="E48:G48"/>
    <mergeCell ref="H48:J48"/>
    <mergeCell ref="K48:M48"/>
    <mergeCell ref="N48:P48"/>
    <mergeCell ref="B49:D49"/>
    <mergeCell ref="H47:J47"/>
    <mergeCell ref="K47:M47"/>
    <mergeCell ref="E45:G45"/>
    <mergeCell ref="H45:J45"/>
    <mergeCell ref="K45:M45"/>
    <mergeCell ref="N45:P45"/>
    <mergeCell ref="B45:D45"/>
    <mergeCell ref="B46:D46"/>
    <mergeCell ref="B47:D47"/>
    <mergeCell ref="B48:D48"/>
  </mergeCells>
  <conditionalFormatting sqref="B23 K42:N42">
    <cfRule type="cellIs" dxfId="209" priority="4" operator="greaterThan">
      <formula>0</formula>
    </cfRule>
  </conditionalFormatting>
  <conditionalFormatting sqref="B24 K43:N43">
    <cfRule type="cellIs" dxfId="208" priority="1" operator="greaterThan">
      <formula>1</formula>
    </cfRule>
  </conditionalFormatting>
  <conditionalFormatting sqref="B24:B25 K44:N44">
    <cfRule type="cellIs" dxfId="207" priority="3" operator="greaterThan">
      <formula>0</formula>
    </cfRule>
  </conditionalFormatting>
  <conditionalFormatting sqref="B42">
    <cfRule type="cellIs" dxfId="206" priority="17" operator="greaterThan">
      <formula>0</formula>
    </cfRule>
  </conditionalFormatting>
  <conditionalFormatting sqref="B43">
    <cfRule type="cellIs" dxfId="205" priority="14" operator="greaterThan">
      <formula>1</formula>
    </cfRule>
    <cfRule type="cellIs" dxfId="204" priority="74" operator="greaterThan">
      <formula>1</formula>
    </cfRule>
  </conditionalFormatting>
  <conditionalFormatting sqref="B43:B44">
    <cfRule type="cellIs" dxfId="203" priority="16" operator="greaterThan">
      <formula>0</formula>
    </cfRule>
    <cfRule type="cellIs" dxfId="202" priority="76" operator="greaterThan">
      <formula>0</formula>
    </cfRule>
  </conditionalFormatting>
  <conditionalFormatting sqref="B46">
    <cfRule type="cellIs" dxfId="201" priority="11" operator="greaterThan">
      <formula>0</formula>
    </cfRule>
  </conditionalFormatting>
  <conditionalFormatting sqref="B47">
    <cfRule type="cellIs" dxfId="200" priority="8" operator="greaterThan">
      <formula>1</formula>
    </cfRule>
  </conditionalFormatting>
  <conditionalFormatting sqref="B47:B48">
    <cfRule type="cellIs" dxfId="199" priority="10" operator="greaterThan">
      <formula>0</formula>
    </cfRule>
  </conditionalFormatting>
  <conditionalFormatting sqref="B25:D25">
    <cfRule type="cellIs" dxfId="198" priority="49" operator="greaterThan">
      <formula>0</formula>
    </cfRule>
  </conditionalFormatting>
  <conditionalFormatting sqref="B44:D44">
    <cfRule type="cellIs" dxfId="197" priority="79" operator="greaterThan">
      <formula>0</formula>
    </cfRule>
  </conditionalFormatting>
  <conditionalFormatting sqref="B48:M48">
    <cfRule type="cellIs" dxfId="196" priority="116" operator="greaterThan">
      <formula>0</formula>
    </cfRule>
  </conditionalFormatting>
  <conditionalFormatting sqref="B50:M50">
    <cfRule type="cellIs" dxfId="195" priority="13" operator="greaterThan">
      <formula>0</formula>
    </cfRule>
  </conditionalFormatting>
  <conditionalFormatting sqref="B48:P48 R48">
    <cfRule type="cellIs" dxfId="194" priority="7" operator="greaterThan">
      <formula>0</formula>
    </cfRule>
  </conditionalFormatting>
  <conditionalFormatting sqref="E24">
    <cfRule type="cellIs" dxfId="193" priority="50" operator="greaterThan">
      <formula>1</formula>
    </cfRule>
  </conditionalFormatting>
  <conditionalFormatting sqref="E24:E25">
    <cfRule type="cellIs" dxfId="192" priority="52" operator="greaterThan">
      <formula>0</formula>
    </cfRule>
  </conditionalFormatting>
  <conditionalFormatting sqref="E42">
    <cfRule type="cellIs" dxfId="191" priority="22" operator="greaterThan">
      <formula>0</formula>
    </cfRule>
  </conditionalFormatting>
  <conditionalFormatting sqref="E43">
    <cfRule type="cellIs" dxfId="190" priority="19" operator="greaterThan">
      <formula>1</formula>
    </cfRule>
    <cfRule type="cellIs" dxfId="189" priority="85" operator="greaterThan">
      <formula>1</formula>
    </cfRule>
    <cfRule type="cellIs" dxfId="188" priority="80" operator="greaterThan">
      <formula>1</formula>
    </cfRule>
  </conditionalFormatting>
  <conditionalFormatting sqref="E43:E44">
    <cfRule type="cellIs" dxfId="187" priority="21" operator="greaterThan">
      <formula>0</formula>
    </cfRule>
    <cfRule type="cellIs" dxfId="186" priority="82" operator="greaterThan">
      <formula>0</formula>
    </cfRule>
    <cfRule type="cellIs" dxfId="185" priority="87" operator="greaterThan">
      <formula>0</formula>
    </cfRule>
  </conditionalFormatting>
  <conditionalFormatting sqref="E46">
    <cfRule type="cellIs" dxfId="184" priority="37" operator="greaterThan">
      <formula>0</formula>
    </cfRule>
  </conditionalFormatting>
  <conditionalFormatting sqref="E47">
    <cfRule type="cellIs" dxfId="183" priority="34" operator="greaterThan">
      <formula>1</formula>
    </cfRule>
  </conditionalFormatting>
  <conditionalFormatting sqref="E47:E48">
    <cfRule type="cellIs" dxfId="182" priority="36" operator="greaterThan">
      <formula>0</formula>
    </cfRule>
  </conditionalFormatting>
  <conditionalFormatting sqref="E25:G25">
    <cfRule type="cellIs" dxfId="181" priority="55" operator="greaterThan">
      <formula>0</formula>
    </cfRule>
  </conditionalFormatting>
  <conditionalFormatting sqref="E44:G44">
    <cfRule type="cellIs" dxfId="180" priority="90" operator="greaterThan">
      <formula>0</formula>
    </cfRule>
  </conditionalFormatting>
  <conditionalFormatting sqref="E23:H23">
    <cfRule type="cellIs" dxfId="179" priority="53" operator="greaterThan">
      <formula>0</formula>
    </cfRule>
  </conditionalFormatting>
  <conditionalFormatting sqref="E24:M24">
    <cfRule type="cellIs" dxfId="178" priority="69" operator="greaterThan">
      <formula>0</formula>
    </cfRule>
  </conditionalFormatting>
  <conditionalFormatting sqref="E43:M43">
    <cfRule type="cellIs" dxfId="177" priority="113" operator="greaterThan">
      <formula>0</formula>
    </cfRule>
  </conditionalFormatting>
  <conditionalFormatting sqref="H24">
    <cfRule type="cellIs" dxfId="176" priority="56" operator="greaterThan">
      <formula>1</formula>
    </cfRule>
  </conditionalFormatting>
  <conditionalFormatting sqref="H24:H25">
    <cfRule type="cellIs" dxfId="175" priority="58" operator="greaterThan">
      <formula>0</formula>
    </cfRule>
  </conditionalFormatting>
  <conditionalFormatting sqref="H42">
    <cfRule type="cellIs" dxfId="174" priority="27" operator="greaterThan">
      <formula>0</formula>
    </cfRule>
  </conditionalFormatting>
  <conditionalFormatting sqref="H43">
    <cfRule type="cellIs" dxfId="173" priority="24" operator="greaterThan">
      <formula>1</formula>
    </cfRule>
    <cfRule type="cellIs" dxfId="172" priority="96" operator="greaterThan">
      <formula>1</formula>
    </cfRule>
    <cfRule type="cellIs" dxfId="171" priority="91" operator="greaterThan">
      <formula>1</formula>
    </cfRule>
  </conditionalFormatting>
  <conditionalFormatting sqref="H43:H44">
    <cfRule type="cellIs" dxfId="170" priority="26" operator="greaterThan">
      <formula>0</formula>
    </cfRule>
    <cfRule type="cellIs" dxfId="169" priority="93" operator="greaterThan">
      <formula>0</formula>
    </cfRule>
    <cfRule type="cellIs" dxfId="168" priority="98" operator="greaterThan">
      <formula>0</formula>
    </cfRule>
  </conditionalFormatting>
  <conditionalFormatting sqref="H46">
    <cfRule type="cellIs" dxfId="167" priority="42" operator="greaterThan">
      <formula>0</formula>
    </cfRule>
  </conditionalFormatting>
  <conditionalFormatting sqref="H47">
    <cfRule type="cellIs" dxfId="166" priority="39" operator="greaterThan">
      <formula>1</formula>
    </cfRule>
  </conditionalFormatting>
  <conditionalFormatting sqref="H47:H48">
    <cfRule type="cellIs" dxfId="165" priority="41" operator="greaterThan">
      <formula>0</formula>
    </cfRule>
  </conditionalFormatting>
  <conditionalFormatting sqref="H25:J25">
    <cfRule type="cellIs" dxfId="164" priority="61" operator="greaterThan">
      <formula>0</formula>
    </cfRule>
  </conditionalFormatting>
  <conditionalFormatting sqref="H44:J44">
    <cfRule type="cellIs" dxfId="163" priority="101" operator="greaterThan">
      <formula>0</formula>
    </cfRule>
  </conditionalFormatting>
  <conditionalFormatting sqref="K24">
    <cfRule type="cellIs" dxfId="162" priority="63" operator="greaterThan">
      <formula>1</formula>
    </cfRule>
  </conditionalFormatting>
  <conditionalFormatting sqref="K24:K25">
    <cfRule type="cellIs" dxfId="161" priority="65" operator="greaterThan">
      <formula>0</formula>
    </cfRule>
  </conditionalFormatting>
  <conditionalFormatting sqref="K43">
    <cfRule type="cellIs" dxfId="160" priority="102" operator="greaterThan">
      <formula>1</formula>
    </cfRule>
    <cfRule type="cellIs" dxfId="159" priority="107" operator="greaterThan">
      <formula>1</formula>
    </cfRule>
  </conditionalFormatting>
  <conditionalFormatting sqref="K43:K44">
    <cfRule type="cellIs" dxfId="158" priority="104" operator="greaterThan">
      <formula>0</formula>
    </cfRule>
    <cfRule type="cellIs" dxfId="157" priority="109" operator="greaterThan">
      <formula>0</formula>
    </cfRule>
    <cfRule type="cellIs" dxfId="156" priority="31" operator="greaterThan">
      <formula>0</formula>
    </cfRule>
  </conditionalFormatting>
  <conditionalFormatting sqref="K46">
    <cfRule type="cellIs" dxfId="155" priority="47" operator="greaterThan">
      <formula>0</formula>
    </cfRule>
  </conditionalFormatting>
  <conditionalFormatting sqref="K47">
    <cfRule type="cellIs" dxfId="154" priority="44" operator="greaterThan">
      <formula>1</formula>
    </cfRule>
  </conditionalFormatting>
  <conditionalFormatting sqref="K47:K48">
    <cfRule type="cellIs" dxfId="153" priority="46" operator="greaterThan">
      <formula>0</formula>
    </cfRule>
  </conditionalFormatting>
  <conditionalFormatting sqref="K23:M23">
    <cfRule type="cellIs" dxfId="152" priority="66" operator="greaterThan">
      <formula>0</formula>
    </cfRule>
  </conditionalFormatting>
  <conditionalFormatting sqref="K25:M25">
    <cfRule type="cellIs" dxfId="151" priority="68" operator="greaterThan">
      <formula>0</formula>
    </cfRule>
  </conditionalFormatting>
  <conditionalFormatting sqref="K44:M44">
    <cfRule type="cellIs" dxfId="150" priority="112" operator="greaterThan">
      <formula>0</formula>
    </cfRule>
  </conditionalFormatting>
  <conditionalFormatting sqref="K47:M47">
    <cfRule type="cellIs" dxfId="149" priority="117" operator="greaterThan">
      <formula>0</formula>
    </cfRule>
  </conditionalFormatting>
  <conditionalFormatting sqref="K47:P47">
    <cfRule type="cellIs" dxfId="148" priority="6" operator="greaterThan">
      <formula>0</formula>
    </cfRule>
  </conditionalFormatting>
  <printOptions horizontalCentered="1" gridLines="1"/>
  <pageMargins left="0.25" right="0.25" top="0.75" bottom="0.75" header="0.3" footer="0.3"/>
  <pageSetup scale="75" fitToHeight="0" pageOrder="overThenDown" orientation="portrait" cellComments="atEnd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AC999"/>
  <sheetViews>
    <sheetView workbookViewId="0">
      <selection activeCell="X9" sqref="X9"/>
    </sheetView>
  </sheetViews>
  <sheetFormatPr defaultColWidth="14.44140625" defaultRowHeight="15" customHeight="1" x14ac:dyDescent="0.25"/>
  <cols>
    <col min="1" max="1" width="20.44140625" customWidth="1"/>
    <col min="2" max="16" width="5.33203125" customWidth="1"/>
    <col min="17" max="17" width="15.44140625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18" thickBot="1" x14ac:dyDescent="0.35">
      <c r="A1" s="311" t="s">
        <v>59</v>
      </c>
      <c r="B1" s="272"/>
      <c r="C1" s="312" t="s">
        <v>1</v>
      </c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313">
        <v>44501</v>
      </c>
      <c r="Q1" s="272"/>
      <c r="R1" s="272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314" t="s">
        <v>2</v>
      </c>
      <c r="B2" s="303"/>
      <c r="C2" s="315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316"/>
      <c r="O2" s="279"/>
      <c r="P2" s="279"/>
      <c r="Q2" s="279"/>
      <c r="R2" s="300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8" thickBot="1" x14ac:dyDescent="0.35">
      <c r="A3" s="325" t="s">
        <v>3</v>
      </c>
      <c r="B3" s="268"/>
      <c r="C3" s="31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70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6.5" customHeight="1" x14ac:dyDescent="0.25">
      <c r="A4" s="2" t="s">
        <v>4</v>
      </c>
      <c r="B4" s="320"/>
      <c r="C4" s="297"/>
      <c r="D4" s="298"/>
      <c r="E4" s="320"/>
      <c r="F4" s="297"/>
      <c r="G4" s="298"/>
      <c r="H4" s="320"/>
      <c r="I4" s="297"/>
      <c r="J4" s="298"/>
      <c r="K4" s="320"/>
      <c r="L4" s="297"/>
      <c r="M4" s="298"/>
      <c r="N4" s="320"/>
      <c r="O4" s="297"/>
      <c r="P4" s="298"/>
      <c r="Q4" s="321" t="s">
        <v>5</v>
      </c>
      <c r="R4" s="322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4" t="s">
        <v>6</v>
      </c>
      <c r="B5" s="318"/>
      <c r="C5" s="319"/>
      <c r="D5" s="308"/>
      <c r="E5" s="318"/>
      <c r="F5" s="319"/>
      <c r="G5" s="308"/>
      <c r="H5" s="318"/>
      <c r="I5" s="319"/>
      <c r="J5" s="308"/>
      <c r="K5" s="318"/>
      <c r="L5" s="319"/>
      <c r="M5" s="308"/>
      <c r="N5" s="318"/>
      <c r="O5" s="319"/>
      <c r="P5" s="308"/>
      <c r="Q5" s="323"/>
      <c r="R5" s="265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thickBot="1" x14ac:dyDescent="0.3">
      <c r="A6" s="5" t="s">
        <v>7</v>
      </c>
      <c r="B6" s="318"/>
      <c r="C6" s="319"/>
      <c r="D6" s="308"/>
      <c r="E6" s="318"/>
      <c r="F6" s="319"/>
      <c r="G6" s="308"/>
      <c r="H6" s="318"/>
      <c r="I6" s="319"/>
      <c r="J6" s="308"/>
      <c r="K6" s="318"/>
      <c r="L6" s="319"/>
      <c r="M6" s="308"/>
      <c r="N6" s="318"/>
      <c r="O6" s="319"/>
      <c r="P6" s="308"/>
      <c r="Q6" s="323"/>
      <c r="R6" s="265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thickBot="1" x14ac:dyDescent="0.3">
      <c r="A7" s="164"/>
      <c r="B7" s="7" t="s">
        <v>8</v>
      </c>
      <c r="C7" s="8" t="s">
        <v>9</v>
      </c>
      <c r="D7" s="9" t="s">
        <v>10</v>
      </c>
      <c r="E7" s="7" t="s">
        <v>8</v>
      </c>
      <c r="F7" s="8" t="s">
        <v>9</v>
      </c>
      <c r="G7" s="9" t="s">
        <v>10</v>
      </c>
      <c r="H7" s="7" t="s">
        <v>8</v>
      </c>
      <c r="I7" s="8" t="s">
        <v>9</v>
      </c>
      <c r="J7" s="9" t="s">
        <v>10</v>
      </c>
      <c r="K7" s="7" t="s">
        <v>8</v>
      </c>
      <c r="L7" s="8" t="s">
        <v>9</v>
      </c>
      <c r="M7" s="9" t="s">
        <v>10</v>
      </c>
      <c r="N7" s="7" t="s">
        <v>8</v>
      </c>
      <c r="O7" s="8" t="s">
        <v>9</v>
      </c>
      <c r="P7" s="9" t="s">
        <v>10</v>
      </c>
      <c r="Q7" s="324"/>
      <c r="R7" s="273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2" x14ac:dyDescent="0.25">
      <c r="A8" s="10">
        <v>44501</v>
      </c>
      <c r="B8" s="165"/>
      <c r="C8" s="166"/>
      <c r="D8" s="167"/>
      <c r="E8" s="168"/>
      <c r="F8" s="166"/>
      <c r="G8" s="167"/>
      <c r="H8" s="168"/>
      <c r="I8" s="166"/>
      <c r="J8" s="167"/>
      <c r="K8" s="168"/>
      <c r="L8" s="166"/>
      <c r="M8" s="167"/>
      <c r="N8" s="168"/>
      <c r="O8" s="166"/>
      <c r="P8" s="167"/>
      <c r="Q8" s="309"/>
      <c r="R8" s="29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2" x14ac:dyDescent="0.25">
      <c r="A9" s="15">
        <f t="shared" ref="A9:A22" si="0">A8+1</f>
        <v>44502</v>
      </c>
      <c r="B9" s="16"/>
      <c r="C9" s="17"/>
      <c r="D9" s="18"/>
      <c r="E9" s="19"/>
      <c r="F9" s="17"/>
      <c r="G9" s="18"/>
      <c r="H9" s="19"/>
      <c r="I9" s="17"/>
      <c r="J9" s="18"/>
      <c r="K9" s="19"/>
      <c r="L9" s="17"/>
      <c r="M9" s="18"/>
      <c r="N9" s="19"/>
      <c r="O9" s="17"/>
      <c r="P9" s="18"/>
      <c r="Q9" s="310"/>
      <c r="R9" s="27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3.2" x14ac:dyDescent="0.25">
      <c r="A10" s="21">
        <f t="shared" si="0"/>
        <v>44503</v>
      </c>
      <c r="B10" s="165"/>
      <c r="C10" s="22"/>
      <c r="D10" s="23"/>
      <c r="E10" s="24"/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  <c r="Q10" s="295"/>
      <c r="R10" s="27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2" x14ac:dyDescent="0.25">
      <c r="A11" s="21">
        <f t="shared" si="0"/>
        <v>44504</v>
      </c>
      <c r="B11" s="165"/>
      <c r="C11" s="22"/>
      <c r="D11" s="23"/>
      <c r="E11" s="24"/>
      <c r="F11" s="22"/>
      <c r="G11" s="23"/>
      <c r="H11" s="24"/>
      <c r="I11" s="22"/>
      <c r="J11" s="23"/>
      <c r="K11" s="24"/>
      <c r="L11" s="22"/>
      <c r="M11" s="23"/>
      <c r="N11" s="24"/>
      <c r="O11" s="22"/>
      <c r="P11" s="23"/>
      <c r="Q11" s="295"/>
      <c r="R11" s="27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2" x14ac:dyDescent="0.25">
      <c r="A12" s="21">
        <f t="shared" si="0"/>
        <v>44505</v>
      </c>
      <c r="B12" s="165"/>
      <c r="C12" s="22"/>
      <c r="D12" s="23"/>
      <c r="E12" s="24"/>
      <c r="F12" s="22"/>
      <c r="G12" s="23"/>
      <c r="H12" s="24"/>
      <c r="I12" s="22"/>
      <c r="J12" s="23"/>
      <c r="K12" s="24"/>
      <c r="L12" s="22"/>
      <c r="M12" s="23"/>
      <c r="N12" s="24"/>
      <c r="O12" s="22"/>
      <c r="P12" s="23"/>
      <c r="Q12" s="295"/>
      <c r="R12" s="27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2" x14ac:dyDescent="0.25">
      <c r="A13" s="21">
        <f t="shared" si="0"/>
        <v>44506</v>
      </c>
      <c r="B13" s="165"/>
      <c r="C13" s="22"/>
      <c r="D13" s="23"/>
      <c r="E13" s="24"/>
      <c r="F13" s="22"/>
      <c r="G13" s="23"/>
      <c r="H13" s="24"/>
      <c r="I13" s="22"/>
      <c r="J13" s="23"/>
      <c r="K13" s="24"/>
      <c r="L13" s="22"/>
      <c r="M13" s="23"/>
      <c r="N13" s="24"/>
      <c r="O13" s="22"/>
      <c r="P13" s="23"/>
      <c r="Q13" s="295"/>
      <c r="R13" s="27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2" x14ac:dyDescent="0.25">
      <c r="A14" s="21">
        <f t="shared" si="0"/>
        <v>44507</v>
      </c>
      <c r="B14" s="165"/>
      <c r="C14" s="22"/>
      <c r="D14" s="23"/>
      <c r="E14" s="24"/>
      <c r="F14" s="22"/>
      <c r="G14" s="23"/>
      <c r="H14" s="24"/>
      <c r="I14" s="22"/>
      <c r="J14" s="23"/>
      <c r="K14" s="24"/>
      <c r="L14" s="22"/>
      <c r="M14" s="23"/>
      <c r="N14" s="24"/>
      <c r="O14" s="22"/>
      <c r="P14" s="23"/>
      <c r="Q14" s="295"/>
      <c r="R14" s="27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2" x14ac:dyDescent="0.25">
      <c r="A15" s="21">
        <f t="shared" si="0"/>
        <v>44508</v>
      </c>
      <c r="B15" s="165"/>
      <c r="C15" s="22"/>
      <c r="D15" s="23"/>
      <c r="E15" s="24"/>
      <c r="F15" s="22"/>
      <c r="G15" s="23"/>
      <c r="H15" s="24"/>
      <c r="I15" s="22"/>
      <c r="J15" s="23"/>
      <c r="K15" s="24"/>
      <c r="L15" s="22"/>
      <c r="M15" s="23"/>
      <c r="N15" s="24"/>
      <c r="O15" s="22"/>
      <c r="P15" s="23"/>
      <c r="Q15" s="294"/>
      <c r="R15" s="27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2" x14ac:dyDescent="0.25">
      <c r="A16" s="21">
        <f t="shared" si="0"/>
        <v>44509</v>
      </c>
      <c r="B16" s="165"/>
      <c r="C16" s="22"/>
      <c r="D16" s="23"/>
      <c r="E16" s="24"/>
      <c r="F16" s="22"/>
      <c r="G16" s="23"/>
      <c r="H16" s="24"/>
      <c r="I16" s="22"/>
      <c r="J16" s="23"/>
      <c r="K16" s="24"/>
      <c r="L16" s="22"/>
      <c r="M16" s="23"/>
      <c r="N16" s="24"/>
      <c r="O16" s="22"/>
      <c r="P16" s="23"/>
      <c r="Q16" s="295"/>
      <c r="R16" s="27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3.8" x14ac:dyDescent="0.3">
      <c r="A17" s="21">
        <f t="shared" si="0"/>
        <v>44510</v>
      </c>
      <c r="B17" s="165"/>
      <c r="C17" s="22"/>
      <c r="D17" s="23"/>
      <c r="E17" s="24"/>
      <c r="F17" s="22"/>
      <c r="G17" s="23"/>
      <c r="H17" s="24"/>
      <c r="I17" s="22"/>
      <c r="J17" s="23"/>
      <c r="K17" s="24"/>
      <c r="L17" s="22"/>
      <c r="M17" s="23"/>
      <c r="N17" s="24"/>
      <c r="O17" s="22"/>
      <c r="P17" s="23"/>
      <c r="Q17" s="295"/>
      <c r="R17" s="276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3.8" x14ac:dyDescent="0.3">
      <c r="A18" s="56">
        <f t="shared" si="0"/>
        <v>44511</v>
      </c>
      <c r="B18" s="11"/>
      <c r="C18" s="53"/>
      <c r="D18" s="54"/>
      <c r="E18" s="55"/>
      <c r="F18" s="53"/>
      <c r="G18" s="54"/>
      <c r="H18" s="55"/>
      <c r="I18" s="53"/>
      <c r="J18" s="54"/>
      <c r="K18" s="55"/>
      <c r="L18" s="53"/>
      <c r="M18" s="54"/>
      <c r="N18" s="55"/>
      <c r="O18" s="53"/>
      <c r="P18" s="54"/>
      <c r="Q18" s="331" t="s">
        <v>54</v>
      </c>
      <c r="R18" s="276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3.8" x14ac:dyDescent="0.3">
      <c r="A19" s="21">
        <f t="shared" si="0"/>
        <v>44512</v>
      </c>
      <c r="B19" s="165"/>
      <c r="C19" s="22"/>
      <c r="D19" s="23"/>
      <c r="E19" s="24"/>
      <c r="F19" s="22"/>
      <c r="G19" s="23"/>
      <c r="H19" s="24"/>
      <c r="I19" s="22"/>
      <c r="J19" s="23"/>
      <c r="K19" s="24"/>
      <c r="L19" s="22"/>
      <c r="M19" s="23"/>
      <c r="N19" s="24"/>
      <c r="O19" s="22"/>
      <c r="P19" s="23"/>
      <c r="Q19" s="295"/>
      <c r="R19" s="276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5.75" customHeight="1" x14ac:dyDescent="0.3">
      <c r="A20" s="21">
        <f t="shared" si="0"/>
        <v>44513</v>
      </c>
      <c r="B20" s="165"/>
      <c r="C20" s="22"/>
      <c r="D20" s="23"/>
      <c r="E20" s="24"/>
      <c r="F20" s="22"/>
      <c r="G20" s="23"/>
      <c r="H20" s="24"/>
      <c r="I20" s="22"/>
      <c r="J20" s="23"/>
      <c r="K20" s="24"/>
      <c r="L20" s="22"/>
      <c r="M20" s="23"/>
      <c r="N20" s="24"/>
      <c r="O20" s="22"/>
      <c r="P20" s="23"/>
      <c r="Q20" s="295"/>
      <c r="R20" s="276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21">
        <f t="shared" si="0"/>
        <v>44514</v>
      </c>
      <c r="B21" s="165"/>
      <c r="C21" s="22"/>
      <c r="D21" s="23"/>
      <c r="E21" s="24"/>
      <c r="F21" s="22"/>
      <c r="G21" s="23"/>
      <c r="H21" s="24"/>
      <c r="I21" s="22"/>
      <c r="J21" s="23"/>
      <c r="K21" s="24"/>
      <c r="L21" s="22"/>
      <c r="M21" s="23"/>
      <c r="N21" s="24"/>
      <c r="O21" s="22"/>
      <c r="P21" s="23"/>
      <c r="Q21" s="295"/>
      <c r="R21" s="276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x14ac:dyDescent="0.3">
      <c r="A22" s="26">
        <f t="shared" si="0"/>
        <v>44515</v>
      </c>
      <c r="B22" s="165"/>
      <c r="C22" s="169"/>
      <c r="D22" s="170"/>
      <c r="E22" s="171"/>
      <c r="F22" s="169"/>
      <c r="G22" s="170"/>
      <c r="H22" s="171"/>
      <c r="I22" s="169"/>
      <c r="J22" s="170"/>
      <c r="K22" s="171"/>
      <c r="L22" s="169"/>
      <c r="M22" s="170"/>
      <c r="N22" s="171"/>
      <c r="O22" s="169"/>
      <c r="P22" s="170"/>
      <c r="Q22" s="307"/>
      <c r="R22" s="308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28" t="s">
        <v>17</v>
      </c>
      <c r="B23" s="302">
        <f>SUM(B8:B22)</f>
        <v>0</v>
      </c>
      <c r="C23" s="297"/>
      <c r="D23" s="298"/>
      <c r="E23" s="302">
        <f>SUM(E8:E22)</f>
        <v>0</v>
      </c>
      <c r="F23" s="297"/>
      <c r="G23" s="298"/>
      <c r="H23" s="302">
        <f>SUM(H8:H22)</f>
        <v>0</v>
      </c>
      <c r="I23" s="297"/>
      <c r="J23" s="298"/>
      <c r="K23" s="302">
        <f>SUM(K8:K22)</f>
        <v>0</v>
      </c>
      <c r="L23" s="297"/>
      <c r="M23" s="298"/>
      <c r="N23" s="302">
        <f>SUM(N8:N22)</f>
        <v>0</v>
      </c>
      <c r="O23" s="297"/>
      <c r="P23" s="298"/>
      <c r="Q23" s="29" t="s">
        <v>18</v>
      </c>
      <c r="R23" s="30">
        <f t="shared" ref="R23:R25" si="1">SUM(B23:P23)</f>
        <v>0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3">
      <c r="A24" s="32" t="s">
        <v>20</v>
      </c>
      <c r="B24" s="277">
        <f>SUM(C8:C23)</f>
        <v>0</v>
      </c>
      <c r="C24" s="275"/>
      <c r="D24" s="276"/>
      <c r="E24" s="277">
        <f>SUM(F8:F23)</f>
        <v>0</v>
      </c>
      <c r="F24" s="275"/>
      <c r="G24" s="276"/>
      <c r="H24" s="277">
        <f>SUM(I8:I23)</f>
        <v>0</v>
      </c>
      <c r="I24" s="275"/>
      <c r="J24" s="276"/>
      <c r="K24" s="277">
        <f>SUM(L8:L23)</f>
        <v>0</v>
      </c>
      <c r="L24" s="275"/>
      <c r="M24" s="276"/>
      <c r="N24" s="277">
        <f>SUM(O8:O23)</f>
        <v>0</v>
      </c>
      <c r="O24" s="275"/>
      <c r="P24" s="276"/>
      <c r="Q24" s="33" t="s">
        <v>21</v>
      </c>
      <c r="R24" s="34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x14ac:dyDescent="0.3">
      <c r="A25" s="35" t="s">
        <v>22</v>
      </c>
      <c r="B25" s="266">
        <f>SUM(D8:D22)</f>
        <v>0</v>
      </c>
      <c r="C25" s="267"/>
      <c r="D25" s="270"/>
      <c r="E25" s="266">
        <f>SUM(G8:G22)</f>
        <v>0</v>
      </c>
      <c r="F25" s="267"/>
      <c r="G25" s="270"/>
      <c r="H25" s="266">
        <f>SUM(J8:J22)</f>
        <v>0</v>
      </c>
      <c r="I25" s="267"/>
      <c r="J25" s="270"/>
      <c r="K25" s="266">
        <f>SUM(M8:M22)</f>
        <v>0</v>
      </c>
      <c r="L25" s="267"/>
      <c r="M25" s="270"/>
      <c r="N25" s="266">
        <f>SUM(P8:P22)</f>
        <v>0</v>
      </c>
      <c r="O25" s="267"/>
      <c r="P25" s="270"/>
      <c r="Q25" s="36" t="s">
        <v>23</v>
      </c>
      <c r="R25" s="37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10">
        <f>A22+1</f>
        <v>44516</v>
      </c>
      <c r="B26" s="172"/>
      <c r="C26" s="173"/>
      <c r="D26" s="174"/>
      <c r="E26" s="175"/>
      <c r="F26" s="173"/>
      <c r="G26" s="174"/>
      <c r="H26" s="175"/>
      <c r="I26" s="173"/>
      <c r="J26" s="174"/>
      <c r="K26" s="175"/>
      <c r="L26" s="173"/>
      <c r="M26" s="174"/>
      <c r="N26" s="175"/>
      <c r="O26" s="173"/>
      <c r="P26" s="174"/>
      <c r="Q26" s="305"/>
      <c r="R26" s="300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21">
        <f t="shared" ref="A27:A40" si="2">A26+1</f>
        <v>44517</v>
      </c>
      <c r="B27" s="172"/>
      <c r="C27" s="22"/>
      <c r="D27" s="23"/>
      <c r="E27" s="24"/>
      <c r="F27" s="22"/>
      <c r="G27" s="23"/>
      <c r="H27" s="24"/>
      <c r="I27" s="22"/>
      <c r="J27" s="23"/>
      <c r="K27" s="24"/>
      <c r="L27" s="22"/>
      <c r="M27" s="23"/>
      <c r="N27" s="24"/>
      <c r="O27" s="22"/>
      <c r="P27" s="23"/>
      <c r="Q27" s="294"/>
      <c r="R27" s="27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21">
        <f t="shared" si="2"/>
        <v>44518</v>
      </c>
      <c r="B28" s="172"/>
      <c r="C28" s="22"/>
      <c r="D28" s="23"/>
      <c r="E28" s="24"/>
      <c r="F28" s="22"/>
      <c r="G28" s="23"/>
      <c r="H28" s="24"/>
      <c r="I28" s="22"/>
      <c r="J28" s="23"/>
      <c r="K28" s="24"/>
      <c r="L28" s="22"/>
      <c r="M28" s="23"/>
      <c r="N28" s="24"/>
      <c r="O28" s="22"/>
      <c r="P28" s="23"/>
      <c r="Q28" s="295"/>
      <c r="R28" s="27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21">
        <f t="shared" si="2"/>
        <v>44519</v>
      </c>
      <c r="B29" s="172"/>
      <c r="C29" s="22"/>
      <c r="D29" s="23"/>
      <c r="E29" s="24"/>
      <c r="F29" s="22"/>
      <c r="G29" s="23"/>
      <c r="H29" s="24"/>
      <c r="I29" s="22"/>
      <c r="J29" s="23"/>
      <c r="K29" s="24"/>
      <c r="L29" s="22"/>
      <c r="M29" s="23"/>
      <c r="N29" s="24"/>
      <c r="O29" s="22"/>
      <c r="P29" s="23"/>
      <c r="Q29" s="295"/>
      <c r="R29" s="27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21">
        <f t="shared" si="2"/>
        <v>44520</v>
      </c>
      <c r="B30" s="172"/>
      <c r="C30" s="22"/>
      <c r="D30" s="23"/>
      <c r="E30" s="24"/>
      <c r="F30" s="22"/>
      <c r="G30" s="23"/>
      <c r="H30" s="24"/>
      <c r="I30" s="22"/>
      <c r="J30" s="23"/>
      <c r="K30" s="24"/>
      <c r="L30" s="22"/>
      <c r="M30" s="23"/>
      <c r="N30" s="24"/>
      <c r="O30" s="22"/>
      <c r="P30" s="23"/>
      <c r="Q30" s="295"/>
      <c r="R30" s="27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21">
        <f t="shared" si="2"/>
        <v>44521</v>
      </c>
      <c r="B31" s="172"/>
      <c r="C31" s="22"/>
      <c r="D31" s="23"/>
      <c r="E31" s="24"/>
      <c r="F31" s="22"/>
      <c r="G31" s="23"/>
      <c r="H31" s="24"/>
      <c r="I31" s="22"/>
      <c r="J31" s="23"/>
      <c r="K31" s="24"/>
      <c r="L31" s="22"/>
      <c r="M31" s="23"/>
      <c r="N31" s="24"/>
      <c r="O31" s="22"/>
      <c r="P31" s="23"/>
      <c r="Q31" s="306"/>
      <c r="R31" s="27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21">
        <f t="shared" si="2"/>
        <v>44522</v>
      </c>
      <c r="B32" s="172"/>
      <c r="C32" s="22"/>
      <c r="D32" s="23"/>
      <c r="E32" s="24"/>
      <c r="F32" s="22"/>
      <c r="G32" s="23"/>
      <c r="H32" s="24"/>
      <c r="I32" s="22"/>
      <c r="J32" s="23"/>
      <c r="K32" s="24"/>
      <c r="L32" s="22"/>
      <c r="M32" s="23"/>
      <c r="N32" s="24"/>
      <c r="O32" s="22"/>
      <c r="P32" s="23"/>
      <c r="Q32" s="295"/>
      <c r="R32" s="27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21">
        <f t="shared" si="2"/>
        <v>44523</v>
      </c>
      <c r="B33" s="172"/>
      <c r="C33" s="22"/>
      <c r="D33" s="23"/>
      <c r="E33" s="24"/>
      <c r="F33" s="22"/>
      <c r="G33" s="23"/>
      <c r="H33" s="24"/>
      <c r="I33" s="22"/>
      <c r="J33" s="23"/>
      <c r="K33" s="24"/>
      <c r="L33" s="22"/>
      <c r="M33" s="23"/>
      <c r="N33" s="24"/>
      <c r="O33" s="22"/>
      <c r="P33" s="23"/>
      <c r="Q33" s="294"/>
      <c r="R33" s="27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21">
        <f t="shared" si="2"/>
        <v>44524</v>
      </c>
      <c r="B34" s="172"/>
      <c r="C34" s="22"/>
      <c r="D34" s="23"/>
      <c r="E34" s="24"/>
      <c r="F34" s="22"/>
      <c r="G34" s="23"/>
      <c r="H34" s="24"/>
      <c r="I34" s="22"/>
      <c r="J34" s="23"/>
      <c r="K34" s="24"/>
      <c r="L34" s="22"/>
      <c r="M34" s="23"/>
      <c r="N34" s="24"/>
      <c r="O34" s="22"/>
      <c r="P34" s="23"/>
      <c r="Q34" s="295"/>
      <c r="R34" s="27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57">
        <f t="shared" si="2"/>
        <v>44525</v>
      </c>
      <c r="B35" s="58"/>
      <c r="C35" s="59"/>
      <c r="D35" s="60"/>
      <c r="E35" s="61"/>
      <c r="F35" s="59"/>
      <c r="G35" s="60"/>
      <c r="H35" s="61"/>
      <c r="I35" s="59"/>
      <c r="J35" s="60"/>
      <c r="K35" s="61"/>
      <c r="L35" s="59"/>
      <c r="M35" s="60"/>
      <c r="N35" s="61"/>
      <c r="O35" s="59"/>
      <c r="P35" s="60"/>
      <c r="Q35" s="327" t="s">
        <v>79</v>
      </c>
      <c r="R35" s="27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21">
        <f t="shared" si="2"/>
        <v>44526</v>
      </c>
      <c r="B36" s="172"/>
      <c r="C36" s="22"/>
      <c r="D36" s="23"/>
      <c r="E36" s="24"/>
      <c r="F36" s="22"/>
      <c r="G36" s="23"/>
      <c r="H36" s="24"/>
      <c r="I36" s="22"/>
      <c r="J36" s="23"/>
      <c r="K36" s="24"/>
      <c r="L36" s="22"/>
      <c r="M36" s="23"/>
      <c r="N36" s="24"/>
      <c r="O36" s="22"/>
      <c r="P36" s="23"/>
      <c r="Q36" s="328" t="s">
        <v>55</v>
      </c>
      <c r="R36" s="293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21">
        <f t="shared" si="2"/>
        <v>44527</v>
      </c>
      <c r="B37" s="172"/>
      <c r="C37" s="22"/>
      <c r="D37" s="23"/>
      <c r="E37" s="24"/>
      <c r="F37" s="22"/>
      <c r="G37" s="23"/>
      <c r="H37" s="24"/>
      <c r="I37" s="22"/>
      <c r="J37" s="23"/>
      <c r="K37" s="24"/>
      <c r="L37" s="22"/>
      <c r="M37" s="23"/>
      <c r="N37" s="24"/>
      <c r="O37" s="22"/>
      <c r="P37" s="23"/>
      <c r="Q37" s="295"/>
      <c r="R37" s="27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81">
        <f t="shared" si="2"/>
        <v>44528</v>
      </c>
      <c r="B38" s="82"/>
      <c r="C38" s="83"/>
      <c r="D38" s="84"/>
      <c r="E38" s="85"/>
      <c r="F38" s="83"/>
      <c r="G38" s="84"/>
      <c r="H38" s="85"/>
      <c r="I38" s="83"/>
      <c r="J38" s="84"/>
      <c r="K38" s="85"/>
      <c r="L38" s="83"/>
      <c r="M38" s="84"/>
      <c r="N38" s="85"/>
      <c r="O38" s="83"/>
      <c r="P38" s="84"/>
      <c r="Q38" s="329"/>
      <c r="R38" s="293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86">
        <f t="shared" si="2"/>
        <v>44529</v>
      </c>
      <c r="B39" s="178"/>
      <c r="C39" s="87"/>
      <c r="D39" s="88"/>
      <c r="E39" s="89"/>
      <c r="F39" s="87"/>
      <c r="G39" s="88"/>
      <c r="H39" s="89"/>
      <c r="I39" s="87"/>
      <c r="J39" s="88"/>
      <c r="K39" s="89"/>
      <c r="L39" s="87"/>
      <c r="M39" s="88"/>
      <c r="N39" s="89"/>
      <c r="O39" s="87"/>
      <c r="P39" s="88"/>
      <c r="Q39" s="328"/>
      <c r="R39" s="293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x14ac:dyDescent="0.25">
      <c r="A40" s="21">
        <f t="shared" si="2"/>
        <v>44530</v>
      </c>
      <c r="B40" s="172"/>
      <c r="C40" s="22"/>
      <c r="D40" s="23"/>
      <c r="E40" s="24"/>
      <c r="F40" s="22"/>
      <c r="G40" s="23"/>
      <c r="H40" s="24"/>
      <c r="I40" s="22"/>
      <c r="J40" s="23"/>
      <c r="K40" s="24"/>
      <c r="L40" s="22"/>
      <c r="M40" s="23"/>
      <c r="N40" s="24"/>
      <c r="O40" s="22"/>
      <c r="P40" s="23"/>
      <c r="Q40" s="295"/>
      <c r="R40" s="276"/>
      <c r="S40" s="6"/>
      <c r="T40" s="6"/>
      <c r="U40" s="38"/>
      <c r="V40" s="38"/>
      <c r="W40" s="6"/>
      <c r="X40" s="6"/>
      <c r="Y40" s="6"/>
      <c r="Z40" s="6"/>
      <c r="AA40" s="6"/>
      <c r="AB40" s="6"/>
      <c r="AC40" s="6"/>
    </row>
    <row r="41" spans="1:29" ht="15.75" customHeight="1" x14ac:dyDescent="0.25">
      <c r="A41" s="21"/>
      <c r="B41" s="172"/>
      <c r="C41" s="169"/>
      <c r="D41" s="170"/>
      <c r="E41" s="171"/>
      <c r="F41" s="169"/>
      <c r="G41" s="170"/>
      <c r="H41" s="171"/>
      <c r="I41" s="169"/>
      <c r="J41" s="170"/>
      <c r="K41" s="171"/>
      <c r="L41" s="169"/>
      <c r="M41" s="170"/>
      <c r="N41" s="171"/>
      <c r="O41" s="169"/>
      <c r="P41" s="170"/>
      <c r="Q41" s="330"/>
      <c r="R41" s="308"/>
      <c r="S41" s="6"/>
      <c r="T41" s="6"/>
      <c r="U41" s="38"/>
      <c r="V41" s="38"/>
      <c r="W41" s="6"/>
      <c r="X41" s="6"/>
      <c r="Y41" s="6"/>
      <c r="Z41" s="6"/>
      <c r="AA41" s="6"/>
      <c r="AB41" s="6"/>
      <c r="AC41" s="6"/>
    </row>
    <row r="42" spans="1:29" ht="15.75" customHeight="1" x14ac:dyDescent="0.3">
      <c r="A42" s="39" t="s">
        <v>24</v>
      </c>
      <c r="B42" s="296">
        <f>SUM(B26:B41)</f>
        <v>0</v>
      </c>
      <c r="C42" s="297"/>
      <c r="D42" s="298"/>
      <c r="E42" s="302">
        <f>SUM(E26:E41)</f>
        <v>0</v>
      </c>
      <c r="F42" s="297"/>
      <c r="G42" s="303"/>
      <c r="H42" s="296">
        <f>SUM(H26:H41)</f>
        <v>0</v>
      </c>
      <c r="I42" s="297"/>
      <c r="J42" s="298"/>
      <c r="K42" s="296">
        <f>SUM(K26:K41)</f>
        <v>0</v>
      </c>
      <c r="L42" s="297"/>
      <c r="M42" s="298"/>
      <c r="N42" s="302">
        <f>SUM(N26:N41)</f>
        <v>0</v>
      </c>
      <c r="O42" s="297"/>
      <c r="P42" s="303"/>
      <c r="Q42" s="29" t="s">
        <v>18</v>
      </c>
      <c r="R42" s="40">
        <f t="shared" ref="R42:R44" si="3">SUM(B42:P42)</f>
        <v>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x14ac:dyDescent="0.3">
      <c r="A43" s="41" t="s">
        <v>25</v>
      </c>
      <c r="B43" s="274">
        <f>SUM(C26:C42)</f>
        <v>0</v>
      </c>
      <c r="C43" s="275"/>
      <c r="D43" s="276"/>
      <c r="E43" s="277">
        <f>SUM(F26:F42)</f>
        <v>0</v>
      </c>
      <c r="F43" s="275"/>
      <c r="G43" s="304"/>
      <c r="H43" s="274">
        <f>SUM(I26:I42)</f>
        <v>0</v>
      </c>
      <c r="I43" s="275"/>
      <c r="J43" s="276"/>
      <c r="K43" s="274">
        <f>SUM(L26:L42)</f>
        <v>0</v>
      </c>
      <c r="L43" s="275"/>
      <c r="M43" s="276"/>
      <c r="N43" s="277">
        <f>SUM(O26:O42)</f>
        <v>0</v>
      </c>
      <c r="O43" s="275"/>
      <c r="P43" s="304"/>
      <c r="Q43" s="33" t="s">
        <v>26</v>
      </c>
      <c r="R43" s="42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15.75" customHeight="1" x14ac:dyDescent="0.3">
      <c r="A44" s="43" t="s">
        <v>27</v>
      </c>
      <c r="B44" s="269">
        <f>SUM(D26:D41)</f>
        <v>0</v>
      </c>
      <c r="C44" s="267"/>
      <c r="D44" s="270"/>
      <c r="E44" s="266">
        <f>SUM(G26:G41)</f>
        <v>0</v>
      </c>
      <c r="F44" s="267"/>
      <c r="G44" s="268"/>
      <c r="H44" s="269">
        <f>SUM(J26:J41)</f>
        <v>0</v>
      </c>
      <c r="I44" s="267"/>
      <c r="J44" s="270"/>
      <c r="K44" s="269">
        <f>SUM(M26:M41)</f>
        <v>0</v>
      </c>
      <c r="L44" s="267"/>
      <c r="M44" s="270"/>
      <c r="N44" s="266">
        <f>SUM(P26:P41)</f>
        <v>0</v>
      </c>
      <c r="O44" s="267"/>
      <c r="P44" s="268"/>
      <c r="Q44" s="36" t="s">
        <v>23</v>
      </c>
      <c r="R44" s="44">
        <f t="shared" si="3"/>
        <v>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7.5" customHeight="1" x14ac:dyDescent="0.3">
      <c r="A45" s="176"/>
      <c r="B45" s="271" t="str">
        <f>IF(ISBLANK(B6),"",B6)</f>
        <v/>
      </c>
      <c r="C45" s="272"/>
      <c r="D45" s="273"/>
      <c r="E45" s="271" t="str">
        <f>IF(ISBLANK(E6),"",E6)</f>
        <v/>
      </c>
      <c r="F45" s="272"/>
      <c r="G45" s="273"/>
      <c r="H45" s="271" t="str">
        <f>IF(ISBLANK(H6),"",H6)</f>
        <v/>
      </c>
      <c r="I45" s="272"/>
      <c r="J45" s="273"/>
      <c r="K45" s="271" t="str">
        <f>IF(ISBLANK(K6),"",K6)</f>
        <v/>
      </c>
      <c r="L45" s="272"/>
      <c r="M45" s="273"/>
      <c r="N45" s="271" t="str">
        <f>IF(ISBLANK(N6),"",N6)</f>
        <v/>
      </c>
      <c r="O45" s="272"/>
      <c r="P45" s="273"/>
      <c r="Q45" s="264"/>
      <c r="R45" s="265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3">
      <c r="A46" s="45" t="s">
        <v>28</v>
      </c>
      <c r="B46" s="296">
        <f t="shared" ref="B46:B48" si="4">B23+B42</f>
        <v>0</v>
      </c>
      <c r="C46" s="297"/>
      <c r="D46" s="298"/>
      <c r="E46" s="299">
        <f t="shared" ref="E46:E48" si="5">E23+E42</f>
        <v>0</v>
      </c>
      <c r="F46" s="279"/>
      <c r="G46" s="300"/>
      <c r="H46" s="299">
        <f t="shared" ref="H46:H48" si="6">H23+H42</f>
        <v>0</v>
      </c>
      <c r="I46" s="279"/>
      <c r="J46" s="300"/>
      <c r="K46" s="299">
        <f t="shared" ref="K46:K48" si="7">K23+K42</f>
        <v>0</v>
      </c>
      <c r="L46" s="279"/>
      <c r="M46" s="300"/>
      <c r="N46" s="299">
        <f t="shared" ref="N46:N48" si="8">N23+N42</f>
        <v>0</v>
      </c>
      <c r="O46" s="279"/>
      <c r="P46" s="300"/>
      <c r="Q46" s="29" t="s">
        <v>18</v>
      </c>
      <c r="R46" s="40">
        <f t="shared" ref="R46:R48" si="9">SUM(B46:P46)</f>
        <v>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x14ac:dyDescent="0.3">
      <c r="A47" s="32" t="s">
        <v>29</v>
      </c>
      <c r="B47" s="277">
        <f t="shared" si="4"/>
        <v>0</v>
      </c>
      <c r="C47" s="275"/>
      <c r="D47" s="276"/>
      <c r="E47" s="274">
        <f t="shared" si="5"/>
        <v>0</v>
      </c>
      <c r="F47" s="275"/>
      <c r="G47" s="276"/>
      <c r="H47" s="274">
        <f t="shared" si="6"/>
        <v>0</v>
      </c>
      <c r="I47" s="275"/>
      <c r="J47" s="276"/>
      <c r="K47" s="274">
        <f t="shared" si="7"/>
        <v>0</v>
      </c>
      <c r="L47" s="275"/>
      <c r="M47" s="276"/>
      <c r="N47" s="274">
        <f t="shared" si="8"/>
        <v>0</v>
      </c>
      <c r="O47" s="275"/>
      <c r="P47" s="276"/>
      <c r="Q47" s="33" t="s">
        <v>26</v>
      </c>
      <c r="R47" s="42">
        <f t="shared" si="9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15.75" customHeight="1" x14ac:dyDescent="0.3">
      <c r="A48" s="46" t="s">
        <v>30</v>
      </c>
      <c r="B48" s="266">
        <f t="shared" si="4"/>
        <v>0</v>
      </c>
      <c r="C48" s="267"/>
      <c r="D48" s="270"/>
      <c r="E48" s="269">
        <f t="shared" si="5"/>
        <v>0</v>
      </c>
      <c r="F48" s="267"/>
      <c r="G48" s="270"/>
      <c r="H48" s="269">
        <f t="shared" si="6"/>
        <v>0</v>
      </c>
      <c r="I48" s="267"/>
      <c r="J48" s="270"/>
      <c r="K48" s="269">
        <f t="shared" si="7"/>
        <v>0</v>
      </c>
      <c r="L48" s="267"/>
      <c r="M48" s="270"/>
      <c r="N48" s="269">
        <f t="shared" si="8"/>
        <v>0</v>
      </c>
      <c r="O48" s="267"/>
      <c r="P48" s="270"/>
      <c r="Q48" s="36" t="s">
        <v>23</v>
      </c>
      <c r="R48" s="44">
        <f t="shared" si="9"/>
        <v>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7.5" customHeight="1" x14ac:dyDescent="0.3">
      <c r="A49" s="47"/>
      <c r="B49" s="271" t="str">
        <f>IF(ISBLANK(B10),"",B10)</f>
        <v/>
      </c>
      <c r="C49" s="272"/>
      <c r="D49" s="273"/>
      <c r="E49" s="271" t="str">
        <f>IF(ISBLANK(E10),"",E10)</f>
        <v/>
      </c>
      <c r="F49" s="272"/>
      <c r="G49" s="273"/>
      <c r="H49" s="271" t="str">
        <f>IF(ISBLANK(H10),"",H10)</f>
        <v/>
      </c>
      <c r="I49" s="272"/>
      <c r="J49" s="273"/>
      <c r="K49" s="271" t="str">
        <f>IF(ISBLANK(K10),"",K10)</f>
        <v/>
      </c>
      <c r="L49" s="272"/>
      <c r="M49" s="273"/>
      <c r="N49" s="271" t="str">
        <f>IF(ISBLANK(N10),"",N10)</f>
        <v/>
      </c>
      <c r="O49" s="272"/>
      <c r="P49" s="273"/>
      <c r="Q49" s="264"/>
      <c r="R49" s="265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x14ac:dyDescent="0.3">
      <c r="A50" s="177" t="s">
        <v>31</v>
      </c>
      <c r="B50" s="290">
        <f>SUM(B46:D48)</f>
        <v>0</v>
      </c>
      <c r="C50" s="272"/>
      <c r="D50" s="273"/>
      <c r="E50" s="291">
        <f>SUM(E46:G48)</f>
        <v>0</v>
      </c>
      <c r="F50" s="284"/>
      <c r="G50" s="285"/>
      <c r="H50" s="291">
        <f>SUM(H46:J48)</f>
        <v>0</v>
      </c>
      <c r="I50" s="284"/>
      <c r="J50" s="285"/>
      <c r="K50" s="291">
        <f>SUM(K46:M48)</f>
        <v>0</v>
      </c>
      <c r="L50" s="284"/>
      <c r="M50" s="285"/>
      <c r="N50" s="291">
        <f>SUM(N46:P48)</f>
        <v>0</v>
      </c>
      <c r="O50" s="284"/>
      <c r="P50" s="285"/>
      <c r="Q50" s="286">
        <f t="shared" ref="Q50:Q51" si="10">SUM(B50:P50)</f>
        <v>0</v>
      </c>
      <c r="R50" s="285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x14ac:dyDescent="0.3">
      <c r="A51" s="48" t="s">
        <v>32</v>
      </c>
      <c r="B51" s="283">
        <f>(B46+B48)/((NETWORKDAYS($P$1,EOMONTH($P$1,0), HO))*8)</f>
        <v>0</v>
      </c>
      <c r="C51" s="284"/>
      <c r="D51" s="285"/>
      <c r="E51" s="283">
        <f>(E46+E48)/((NETWORKDAYS($P$1,EOMONTH($P$1,0), HO))*8)</f>
        <v>0</v>
      </c>
      <c r="F51" s="284"/>
      <c r="G51" s="285"/>
      <c r="H51" s="283">
        <f>(H46+H48)/((NETWORKDAYS($P$1,EOMONTH($P$1,0), HO))*8)</f>
        <v>0</v>
      </c>
      <c r="I51" s="284"/>
      <c r="J51" s="285"/>
      <c r="K51" s="283">
        <f>(K46+K48)/((NETWORKDAYS($P$1,EOMONTH($P$1,0), HO))*8)</f>
        <v>0</v>
      </c>
      <c r="L51" s="284"/>
      <c r="M51" s="285"/>
      <c r="N51" s="283">
        <f>(N46+N48)/((NETWORKDAYS($P$1,EOMONTH($P$1,0), HO))*8)</f>
        <v>0</v>
      </c>
      <c r="O51" s="284"/>
      <c r="P51" s="285"/>
      <c r="Q51" s="283">
        <f t="shared" si="10"/>
        <v>0</v>
      </c>
      <c r="R51" s="285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15.75" customHeight="1" x14ac:dyDescent="0.3">
      <c r="A52" s="48" t="s">
        <v>33</v>
      </c>
      <c r="B52" s="286">
        <f>R46+R48</f>
        <v>0</v>
      </c>
      <c r="C52" s="284"/>
      <c r="D52" s="285"/>
      <c r="E52" s="283" t="s">
        <v>21</v>
      </c>
      <c r="F52" s="284"/>
      <c r="G52" s="285"/>
      <c r="H52" s="286">
        <f>R47</f>
        <v>0</v>
      </c>
      <c r="I52" s="284"/>
      <c r="J52" s="285"/>
      <c r="K52" s="286">
        <f>U47</f>
        <v>0</v>
      </c>
      <c r="L52" s="284"/>
      <c r="M52" s="285"/>
      <c r="N52" s="283" t="s">
        <v>34</v>
      </c>
      <c r="O52" s="284"/>
      <c r="P52" s="285"/>
      <c r="Q52" s="286">
        <f>B52+H52</f>
        <v>0</v>
      </c>
      <c r="R52" s="285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24.75" customHeight="1" x14ac:dyDescent="0.25">
      <c r="A53" s="287" t="s">
        <v>35</v>
      </c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15.75" customHeight="1" x14ac:dyDescent="0.25">
      <c r="A54" s="49" t="s">
        <v>65</v>
      </c>
      <c r="B54" s="289"/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50" t="s">
        <v>37</v>
      </c>
      <c r="P54" s="289"/>
      <c r="Q54" s="272"/>
      <c r="R54" s="272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51"/>
      <c r="B55" s="38"/>
      <c r="C55" s="38"/>
      <c r="D55" s="52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15.75" customHeight="1" x14ac:dyDescent="0.25">
      <c r="A56" s="278" t="s">
        <v>66</v>
      </c>
      <c r="B56" s="279"/>
      <c r="C56" s="280"/>
      <c r="D56" s="279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5.75" customHeight="1" x14ac:dyDescent="0.25">
      <c r="A57" s="281" t="s">
        <v>39</v>
      </c>
      <c r="B57" s="275"/>
      <c r="C57" s="282"/>
      <c r="D57" s="275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51"/>
      <c r="B58" s="38"/>
      <c r="C58" s="38"/>
      <c r="D58" s="52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spans="1:29" ht="15.75" customHeight="1" x14ac:dyDescent="0.25">
      <c r="A257" s="51"/>
      <c r="B257" s="38"/>
      <c r="C257" s="38"/>
      <c r="D257" s="52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spans="1:29" ht="15.75" customHeight="1" x14ac:dyDescent="0.25"/>
    <row r="259" spans="1:29" ht="15.75" customHeight="1" x14ac:dyDescent="0.25"/>
    <row r="260" spans="1:29" ht="15.75" customHeight="1" x14ac:dyDescent="0.25"/>
    <row r="261" spans="1:29" ht="15.75" customHeight="1" x14ac:dyDescent="0.25"/>
    <row r="262" spans="1:29" ht="15.75" customHeight="1" x14ac:dyDescent="0.25"/>
    <row r="263" spans="1:29" ht="15.75" customHeight="1" x14ac:dyDescent="0.25"/>
    <row r="264" spans="1:29" ht="15.75" customHeight="1" x14ac:dyDescent="0.25"/>
    <row r="265" spans="1:29" ht="15.75" customHeight="1" x14ac:dyDescent="0.25"/>
    <row r="266" spans="1:29" ht="15.75" customHeight="1" x14ac:dyDescent="0.25"/>
    <row r="267" spans="1:29" ht="15.75" customHeight="1" x14ac:dyDescent="0.25"/>
    <row r="268" spans="1:29" ht="15.75" customHeight="1" x14ac:dyDescent="0.25"/>
    <row r="269" spans="1:29" ht="15.75" customHeight="1" x14ac:dyDescent="0.25"/>
    <row r="270" spans="1:29" ht="15.75" customHeight="1" x14ac:dyDescent="0.25"/>
    <row r="271" spans="1:29" ht="15.75" customHeight="1" x14ac:dyDescent="0.25"/>
    <row r="272" spans="1:2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37">
    <mergeCell ref="N6:P6"/>
    <mergeCell ref="A1:B1"/>
    <mergeCell ref="C1:O1"/>
    <mergeCell ref="P1:R1"/>
    <mergeCell ref="A2:B2"/>
    <mergeCell ref="C3:R3"/>
    <mergeCell ref="A3:B3"/>
    <mergeCell ref="E4:G4"/>
    <mergeCell ref="H4:J4"/>
    <mergeCell ref="K4:M4"/>
    <mergeCell ref="N4:P4"/>
    <mergeCell ref="N5:P5"/>
    <mergeCell ref="C2:M2"/>
    <mergeCell ref="N2:R2"/>
    <mergeCell ref="Q4:R7"/>
    <mergeCell ref="B5:D5"/>
    <mergeCell ref="E5:G5"/>
    <mergeCell ref="H5:J5"/>
    <mergeCell ref="K5:M5"/>
    <mergeCell ref="B4:D4"/>
    <mergeCell ref="B6:D6"/>
    <mergeCell ref="E6:G6"/>
    <mergeCell ref="H6:J6"/>
    <mergeCell ref="K6:M6"/>
    <mergeCell ref="Q8:R8"/>
    <mergeCell ref="Q9:R9"/>
    <mergeCell ref="Q10:R10"/>
    <mergeCell ref="Q11:R11"/>
    <mergeCell ref="Q12:R12"/>
    <mergeCell ref="Q13:R13"/>
    <mergeCell ref="Q21:R21"/>
    <mergeCell ref="Q22:R22"/>
    <mergeCell ref="B23:D23"/>
    <mergeCell ref="E23:G23"/>
    <mergeCell ref="H23:J23"/>
    <mergeCell ref="K23:M23"/>
    <mergeCell ref="N23:P23"/>
    <mergeCell ref="Q14:R14"/>
    <mergeCell ref="Q15:R15"/>
    <mergeCell ref="Q16:R16"/>
    <mergeCell ref="Q17:R17"/>
    <mergeCell ref="Q18:R18"/>
    <mergeCell ref="Q19:R19"/>
    <mergeCell ref="Q20:R20"/>
    <mergeCell ref="H44:J44"/>
    <mergeCell ref="K44:M44"/>
    <mergeCell ref="B43:D43"/>
    <mergeCell ref="E43:G43"/>
    <mergeCell ref="H43:J43"/>
    <mergeCell ref="K43:M43"/>
    <mergeCell ref="N43:P43"/>
    <mergeCell ref="E44:G44"/>
    <mergeCell ref="N44:P44"/>
    <mergeCell ref="B44:D44"/>
    <mergeCell ref="H25:J25"/>
    <mergeCell ref="K25:M25"/>
    <mergeCell ref="B24:D24"/>
    <mergeCell ref="E24:G24"/>
    <mergeCell ref="H24:J24"/>
    <mergeCell ref="K24:M24"/>
    <mergeCell ref="N24:P24"/>
    <mergeCell ref="B25:D25"/>
    <mergeCell ref="E25:G25"/>
    <mergeCell ref="N25:P25"/>
    <mergeCell ref="B50:D50"/>
    <mergeCell ref="E50:G50"/>
    <mergeCell ref="H50:J50"/>
    <mergeCell ref="K50:M50"/>
    <mergeCell ref="N50:P50"/>
    <mergeCell ref="Q50:R50"/>
    <mergeCell ref="B51:D51"/>
    <mergeCell ref="Q51:R51"/>
    <mergeCell ref="B52:D52"/>
    <mergeCell ref="A56:B56"/>
    <mergeCell ref="C56:D56"/>
    <mergeCell ref="A57:B57"/>
    <mergeCell ref="C57:D57"/>
    <mergeCell ref="E51:G51"/>
    <mergeCell ref="H51:J51"/>
    <mergeCell ref="E52:G52"/>
    <mergeCell ref="H52:J52"/>
    <mergeCell ref="A53:R53"/>
    <mergeCell ref="B54:N54"/>
    <mergeCell ref="P54:R54"/>
    <mergeCell ref="K51:M51"/>
    <mergeCell ref="N51:P51"/>
    <mergeCell ref="K52:M52"/>
    <mergeCell ref="N52:P52"/>
    <mergeCell ref="Q52:R52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B42:D42"/>
    <mergeCell ref="E42:G42"/>
    <mergeCell ref="H42:J42"/>
    <mergeCell ref="K42:M42"/>
    <mergeCell ref="N42:P42"/>
    <mergeCell ref="Q45:R45"/>
    <mergeCell ref="E49:G49"/>
    <mergeCell ref="H49:J49"/>
    <mergeCell ref="Q49:R49"/>
    <mergeCell ref="K49:M49"/>
    <mergeCell ref="N49:P49"/>
    <mergeCell ref="N46:P46"/>
    <mergeCell ref="E47:G47"/>
    <mergeCell ref="N47:P47"/>
    <mergeCell ref="E46:G46"/>
    <mergeCell ref="H46:J46"/>
    <mergeCell ref="K46:M46"/>
    <mergeCell ref="E48:G48"/>
    <mergeCell ref="H48:J48"/>
    <mergeCell ref="K48:M48"/>
    <mergeCell ref="N48:P48"/>
    <mergeCell ref="B49:D49"/>
    <mergeCell ref="H47:J47"/>
    <mergeCell ref="K47:M47"/>
    <mergeCell ref="E45:G45"/>
    <mergeCell ref="H45:J45"/>
    <mergeCell ref="K45:M45"/>
    <mergeCell ref="N45:P45"/>
    <mergeCell ref="B45:D45"/>
    <mergeCell ref="B46:D46"/>
    <mergeCell ref="B47:D47"/>
    <mergeCell ref="B48:D48"/>
  </mergeCells>
  <conditionalFormatting sqref="B23">
    <cfRule type="cellIs" dxfId="147" priority="4" operator="greaterThan">
      <formula>0</formula>
    </cfRule>
  </conditionalFormatting>
  <conditionalFormatting sqref="B24">
    <cfRule type="cellIs" dxfId="146" priority="1" operator="greaterThan">
      <formula>1</formula>
    </cfRule>
  </conditionalFormatting>
  <conditionalFormatting sqref="B24:B25">
    <cfRule type="cellIs" dxfId="145" priority="3" operator="greaterThan">
      <formula>0</formula>
    </cfRule>
  </conditionalFormatting>
  <conditionalFormatting sqref="B42">
    <cfRule type="cellIs" dxfId="144" priority="29" operator="greaterThan">
      <formula>0</formula>
    </cfRule>
  </conditionalFormatting>
  <conditionalFormatting sqref="B43">
    <cfRule type="cellIs" dxfId="143" priority="86" operator="greaterThan">
      <formula>1</formula>
    </cfRule>
    <cfRule type="cellIs" dxfId="142" priority="26" operator="greaterThan">
      <formula>1</formula>
    </cfRule>
  </conditionalFormatting>
  <conditionalFormatting sqref="B43:B44">
    <cfRule type="cellIs" dxfId="141" priority="28" operator="greaterThan">
      <formula>0</formula>
    </cfRule>
    <cfRule type="cellIs" dxfId="140" priority="88" operator="greaterThan">
      <formula>0</formula>
    </cfRule>
  </conditionalFormatting>
  <conditionalFormatting sqref="B46">
    <cfRule type="cellIs" dxfId="139" priority="23" operator="greaterThan">
      <formula>0</formula>
    </cfRule>
  </conditionalFormatting>
  <conditionalFormatting sqref="B47">
    <cfRule type="cellIs" dxfId="138" priority="20" operator="greaterThan">
      <formula>1</formula>
    </cfRule>
  </conditionalFormatting>
  <conditionalFormatting sqref="B47:B48">
    <cfRule type="cellIs" dxfId="137" priority="22" operator="greaterThan">
      <formula>0</formula>
    </cfRule>
  </conditionalFormatting>
  <conditionalFormatting sqref="B25:D25">
    <cfRule type="cellIs" dxfId="136" priority="61" operator="greaterThan">
      <formula>0</formula>
    </cfRule>
  </conditionalFormatting>
  <conditionalFormatting sqref="B44:D44">
    <cfRule type="cellIs" dxfId="135" priority="91" operator="greaterThan">
      <formula>0</formula>
    </cfRule>
  </conditionalFormatting>
  <conditionalFormatting sqref="B48:P48 R48">
    <cfRule type="cellIs" dxfId="134" priority="128" operator="greaterThan">
      <formula>0</formula>
    </cfRule>
  </conditionalFormatting>
  <conditionalFormatting sqref="B50:P50">
    <cfRule type="cellIs" dxfId="133" priority="25" operator="greaterThan">
      <formula>0</formula>
    </cfRule>
  </conditionalFormatting>
  <conditionalFormatting sqref="E24">
    <cfRule type="cellIs" dxfId="132" priority="62" operator="greaterThan">
      <formula>1</formula>
    </cfRule>
  </conditionalFormatting>
  <conditionalFormatting sqref="E24:E25">
    <cfRule type="cellIs" dxfId="131" priority="64" operator="greaterThan">
      <formula>0</formula>
    </cfRule>
  </conditionalFormatting>
  <conditionalFormatting sqref="E42">
    <cfRule type="cellIs" dxfId="130" priority="34" operator="greaterThan">
      <formula>0</formula>
    </cfRule>
  </conditionalFormatting>
  <conditionalFormatting sqref="E43">
    <cfRule type="cellIs" dxfId="129" priority="97" operator="greaterThan">
      <formula>1</formula>
    </cfRule>
    <cfRule type="cellIs" dxfId="128" priority="92" operator="greaterThan">
      <formula>1</formula>
    </cfRule>
    <cfRule type="cellIs" dxfId="127" priority="31" operator="greaterThan">
      <formula>1</formula>
    </cfRule>
  </conditionalFormatting>
  <conditionalFormatting sqref="E43:E44">
    <cfRule type="cellIs" dxfId="126" priority="99" operator="greaterThan">
      <formula>0</formula>
    </cfRule>
    <cfRule type="cellIs" dxfId="125" priority="94" operator="greaterThan">
      <formula>0</formula>
    </cfRule>
    <cfRule type="cellIs" dxfId="124" priority="33" operator="greaterThan">
      <formula>0</formula>
    </cfRule>
  </conditionalFormatting>
  <conditionalFormatting sqref="E46">
    <cfRule type="cellIs" dxfId="123" priority="49" operator="greaterThan">
      <formula>0</formula>
    </cfRule>
  </conditionalFormatting>
  <conditionalFormatting sqref="E47">
    <cfRule type="cellIs" dxfId="122" priority="46" operator="greaterThan">
      <formula>1</formula>
    </cfRule>
  </conditionalFormatting>
  <conditionalFormatting sqref="E47:E48">
    <cfRule type="cellIs" dxfId="121" priority="48" operator="greaterThan">
      <formula>0</formula>
    </cfRule>
  </conditionalFormatting>
  <conditionalFormatting sqref="E25:G25">
    <cfRule type="cellIs" dxfId="120" priority="67" operator="greaterThan">
      <formula>0</formula>
    </cfRule>
  </conditionalFormatting>
  <conditionalFormatting sqref="E44:G44">
    <cfRule type="cellIs" dxfId="119" priority="102" operator="greaterThan">
      <formula>0</formula>
    </cfRule>
  </conditionalFormatting>
  <conditionalFormatting sqref="E23:H23">
    <cfRule type="cellIs" dxfId="118" priority="65" operator="greaterThan">
      <formula>0</formula>
    </cfRule>
  </conditionalFormatting>
  <conditionalFormatting sqref="E24:P24">
    <cfRule type="cellIs" dxfId="117" priority="81" operator="greaterThan">
      <formula>0</formula>
    </cfRule>
  </conditionalFormatting>
  <conditionalFormatting sqref="E43:P43">
    <cfRule type="cellIs" dxfId="116" priority="125" operator="greaterThan">
      <formula>0</formula>
    </cfRule>
  </conditionalFormatting>
  <conditionalFormatting sqref="H24 K24">
    <cfRule type="cellIs" dxfId="115" priority="68" operator="greaterThan">
      <formula>1</formula>
    </cfRule>
  </conditionalFormatting>
  <conditionalFormatting sqref="H24:H25 K24:K25">
    <cfRule type="cellIs" dxfId="114" priority="70" operator="greaterThan">
      <formula>0</formula>
    </cfRule>
  </conditionalFormatting>
  <conditionalFormatting sqref="H42 K42:N42">
    <cfRule type="cellIs" dxfId="113" priority="39" operator="greaterThan">
      <formula>0</formula>
    </cfRule>
  </conditionalFormatting>
  <conditionalFormatting sqref="H43 K43">
    <cfRule type="cellIs" dxfId="112" priority="108" operator="greaterThan">
      <formula>1</formula>
    </cfRule>
    <cfRule type="cellIs" dxfId="111" priority="36" operator="greaterThan">
      <formula>1</formula>
    </cfRule>
  </conditionalFormatting>
  <conditionalFormatting sqref="H43:H44 K43:K44">
    <cfRule type="cellIs" dxfId="110" priority="38" operator="greaterThan">
      <formula>0</formula>
    </cfRule>
    <cfRule type="cellIs" dxfId="109" priority="105" operator="greaterThan">
      <formula>0</formula>
    </cfRule>
    <cfRule type="cellIs" dxfId="108" priority="110" operator="greaterThan">
      <formula>0</formula>
    </cfRule>
  </conditionalFormatting>
  <conditionalFormatting sqref="H46 K46:N46">
    <cfRule type="cellIs" dxfId="107" priority="54" operator="greaterThan">
      <formula>0</formula>
    </cfRule>
  </conditionalFormatting>
  <conditionalFormatting sqref="H47 K47">
    <cfRule type="cellIs" dxfId="106" priority="51" operator="greaterThan">
      <formula>1</formula>
    </cfRule>
  </conditionalFormatting>
  <conditionalFormatting sqref="H47:H48 K47:K48">
    <cfRule type="cellIs" dxfId="105" priority="53" operator="greaterThan">
      <formula>0</formula>
    </cfRule>
  </conditionalFormatting>
  <conditionalFormatting sqref="H25:M25">
    <cfRule type="cellIs" dxfId="104" priority="73" operator="greaterThan">
      <formula>0</formula>
    </cfRule>
  </conditionalFormatting>
  <conditionalFormatting sqref="H44:M44">
    <cfRule type="cellIs" dxfId="103" priority="113" operator="greaterThan">
      <formula>0</formula>
    </cfRule>
  </conditionalFormatting>
  <conditionalFormatting sqref="K43 H43">
    <cfRule type="cellIs" dxfId="102" priority="103" operator="greaterThan">
      <formula>1</formula>
    </cfRule>
  </conditionalFormatting>
  <conditionalFormatting sqref="K24:N24">
    <cfRule type="cellIs" dxfId="101" priority="75" operator="greaterThan">
      <formula>1</formula>
    </cfRule>
  </conditionalFormatting>
  <conditionalFormatting sqref="K24:N25">
    <cfRule type="cellIs" dxfId="100" priority="77" operator="greaterThan">
      <formula>0</formula>
    </cfRule>
  </conditionalFormatting>
  <conditionalFormatting sqref="K43:N43">
    <cfRule type="cellIs" dxfId="99" priority="41" operator="greaterThan">
      <formula>1</formula>
    </cfRule>
    <cfRule type="cellIs" dxfId="98" priority="119" operator="greaterThan">
      <formula>1</formula>
    </cfRule>
    <cfRule type="cellIs" dxfId="97" priority="114" operator="greaterThan">
      <formula>1</formula>
    </cfRule>
  </conditionalFormatting>
  <conditionalFormatting sqref="K43:N44">
    <cfRule type="cellIs" dxfId="96" priority="43" operator="greaterThan">
      <formula>0</formula>
    </cfRule>
    <cfRule type="cellIs" dxfId="95" priority="116" operator="greaterThan">
      <formula>0</formula>
    </cfRule>
    <cfRule type="cellIs" dxfId="94" priority="121" operator="greaterThan">
      <formula>0</formula>
    </cfRule>
  </conditionalFormatting>
  <conditionalFormatting sqref="K47:N47">
    <cfRule type="cellIs" dxfId="93" priority="56" operator="greaterThan">
      <formula>1</formula>
    </cfRule>
  </conditionalFormatting>
  <conditionalFormatting sqref="K47:N48">
    <cfRule type="cellIs" dxfId="92" priority="58" operator="greaterThan">
      <formula>0</formula>
    </cfRule>
  </conditionalFormatting>
  <conditionalFormatting sqref="K23:P23">
    <cfRule type="cellIs" dxfId="91" priority="71" operator="greaterThan">
      <formula>0</formula>
    </cfRule>
  </conditionalFormatting>
  <conditionalFormatting sqref="K25:P25">
    <cfRule type="cellIs" dxfId="90" priority="80" operator="greaterThan">
      <formula>0</formula>
    </cfRule>
  </conditionalFormatting>
  <conditionalFormatting sqref="K44:P44">
    <cfRule type="cellIs" dxfId="89" priority="124" operator="greaterThan">
      <formula>0</formula>
    </cfRule>
  </conditionalFormatting>
  <conditionalFormatting sqref="K47:P47">
    <cfRule type="cellIs" dxfId="88" priority="129" operator="greaterThan">
      <formula>0</formula>
    </cfRule>
  </conditionalFormatting>
  <conditionalFormatting sqref="R23">
    <cfRule type="cellIs" dxfId="87" priority="7" operator="greaterThan">
      <formula>0</formula>
    </cfRule>
    <cfRule type="cellIs" dxfId="86" priority="6" operator="greaterThan">
      <formula>0</formula>
    </cfRule>
  </conditionalFormatting>
  <conditionalFormatting sqref="R24">
    <cfRule type="cellIs" dxfId="85" priority="8" operator="greaterThan">
      <formula>0</formula>
    </cfRule>
  </conditionalFormatting>
  <conditionalFormatting sqref="R25">
    <cfRule type="cellIs" dxfId="84" priority="9" operator="greaterThan">
      <formula>0</formula>
    </cfRule>
    <cfRule type="cellIs" dxfId="83" priority="10" operator="greaterThan">
      <formula>0</formula>
    </cfRule>
  </conditionalFormatting>
  <conditionalFormatting sqref="R42">
    <cfRule type="cellIs" dxfId="82" priority="12" operator="greaterThan">
      <formula>0</formula>
    </cfRule>
    <cfRule type="cellIs" dxfId="81" priority="11" operator="greaterThan">
      <formula>0</formula>
    </cfRule>
  </conditionalFormatting>
  <conditionalFormatting sqref="R43">
    <cfRule type="cellIs" dxfId="80" priority="13" operator="greaterThan">
      <formula>0</formula>
    </cfRule>
  </conditionalFormatting>
  <conditionalFormatting sqref="R44">
    <cfRule type="cellIs" dxfId="79" priority="14" operator="greaterThan">
      <formula>0</formula>
    </cfRule>
    <cfRule type="cellIs" dxfId="78" priority="15" operator="greaterThan">
      <formula>0</formula>
    </cfRule>
  </conditionalFormatting>
  <conditionalFormatting sqref="R46">
    <cfRule type="cellIs" dxfId="77" priority="16" operator="greaterThan">
      <formula>0</formula>
    </cfRule>
    <cfRule type="cellIs" dxfId="76" priority="17" operator="greaterThan">
      <formula>0</formula>
    </cfRule>
  </conditionalFormatting>
  <conditionalFormatting sqref="R47">
    <cfRule type="cellIs" dxfId="75" priority="18" operator="greaterThan">
      <formula>0</formula>
    </cfRule>
  </conditionalFormatting>
  <conditionalFormatting sqref="R48">
    <cfRule type="cellIs" dxfId="74" priority="19" operator="greaterThan">
      <formula>0</formula>
    </cfRule>
  </conditionalFormatting>
  <printOptions horizontalCentered="1" gridLines="1"/>
  <pageMargins left="0.25" right="0.25" top="0.75" bottom="0.75" header="0.3" footer="0.3"/>
  <pageSetup scale="75" fitToHeight="0" pageOrder="overThenDown" orientation="portrait" cellComments="atEnd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AC999"/>
  <sheetViews>
    <sheetView workbookViewId="0">
      <selection activeCell="Y28" sqref="Y28"/>
    </sheetView>
  </sheetViews>
  <sheetFormatPr defaultColWidth="14.44140625" defaultRowHeight="15" customHeight="1" x14ac:dyDescent="0.25"/>
  <cols>
    <col min="1" max="1" width="20.44140625" customWidth="1"/>
    <col min="2" max="16" width="5.33203125" customWidth="1"/>
    <col min="17" max="17" width="16.44140625" customWidth="1"/>
    <col min="18" max="18" width="10.6640625" customWidth="1"/>
    <col min="19" max="20" width="9.109375" customWidth="1"/>
    <col min="21" max="21" width="10.44140625" hidden="1" customWidth="1"/>
    <col min="22" max="22" width="29.33203125" hidden="1" customWidth="1"/>
    <col min="23" max="29" width="9.109375" customWidth="1"/>
  </cols>
  <sheetData>
    <row r="1" spans="1:29" ht="18" thickBot="1" x14ac:dyDescent="0.35">
      <c r="A1" s="311" t="s">
        <v>59</v>
      </c>
      <c r="B1" s="272"/>
      <c r="C1" s="312" t="s">
        <v>1</v>
      </c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313">
        <v>44531</v>
      </c>
      <c r="Q1" s="272"/>
      <c r="R1" s="272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314" t="s">
        <v>2</v>
      </c>
      <c r="B2" s="303"/>
      <c r="C2" s="315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316"/>
      <c r="O2" s="279"/>
      <c r="P2" s="279"/>
      <c r="Q2" s="279"/>
      <c r="R2" s="300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8" thickBot="1" x14ac:dyDescent="0.35">
      <c r="A3" s="325" t="s">
        <v>3</v>
      </c>
      <c r="B3" s="268"/>
      <c r="C3" s="31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70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6.5" customHeight="1" x14ac:dyDescent="0.25">
      <c r="A4" s="2" t="s">
        <v>4</v>
      </c>
      <c r="B4" s="320"/>
      <c r="C4" s="297"/>
      <c r="D4" s="298"/>
      <c r="E4" s="320"/>
      <c r="F4" s="297"/>
      <c r="G4" s="298"/>
      <c r="H4" s="320"/>
      <c r="I4" s="297"/>
      <c r="J4" s="298"/>
      <c r="K4" s="320"/>
      <c r="L4" s="297"/>
      <c r="M4" s="298"/>
      <c r="N4" s="320"/>
      <c r="O4" s="297"/>
      <c r="P4" s="298"/>
      <c r="Q4" s="321" t="s">
        <v>5</v>
      </c>
      <c r="R4" s="322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6.5" customHeight="1" x14ac:dyDescent="0.25">
      <c r="A5" s="4" t="s">
        <v>6</v>
      </c>
      <c r="B5" s="318"/>
      <c r="C5" s="319"/>
      <c r="D5" s="308"/>
      <c r="E5" s="318"/>
      <c r="F5" s="319"/>
      <c r="G5" s="308"/>
      <c r="H5" s="318"/>
      <c r="I5" s="319"/>
      <c r="J5" s="308"/>
      <c r="K5" s="318"/>
      <c r="L5" s="319"/>
      <c r="M5" s="308"/>
      <c r="N5" s="318"/>
      <c r="O5" s="319"/>
      <c r="P5" s="308"/>
      <c r="Q5" s="323"/>
      <c r="R5" s="265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6.5" customHeight="1" thickBot="1" x14ac:dyDescent="0.3">
      <c r="A6" s="5" t="s">
        <v>7</v>
      </c>
      <c r="B6" s="318"/>
      <c r="C6" s="319"/>
      <c r="D6" s="308"/>
      <c r="E6" s="318"/>
      <c r="F6" s="319"/>
      <c r="G6" s="308"/>
      <c r="H6" s="318"/>
      <c r="I6" s="319"/>
      <c r="J6" s="308"/>
      <c r="K6" s="318"/>
      <c r="L6" s="319"/>
      <c r="M6" s="308"/>
      <c r="N6" s="318"/>
      <c r="O6" s="319"/>
      <c r="P6" s="308"/>
      <c r="Q6" s="323"/>
      <c r="R6" s="265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thickBot="1" x14ac:dyDescent="0.3">
      <c r="A7" s="164"/>
      <c r="B7" s="7" t="s">
        <v>8</v>
      </c>
      <c r="C7" s="8" t="s">
        <v>9</v>
      </c>
      <c r="D7" s="9" t="s">
        <v>10</v>
      </c>
      <c r="E7" s="7" t="s">
        <v>8</v>
      </c>
      <c r="F7" s="8" t="s">
        <v>9</v>
      </c>
      <c r="G7" s="9" t="s">
        <v>10</v>
      </c>
      <c r="H7" s="7" t="s">
        <v>8</v>
      </c>
      <c r="I7" s="8" t="s">
        <v>9</v>
      </c>
      <c r="J7" s="9" t="s">
        <v>10</v>
      </c>
      <c r="K7" s="7" t="s">
        <v>8</v>
      </c>
      <c r="L7" s="8" t="s">
        <v>9</v>
      </c>
      <c r="M7" s="9" t="s">
        <v>10</v>
      </c>
      <c r="N7" s="7" t="s">
        <v>8</v>
      </c>
      <c r="O7" s="8" t="s">
        <v>9</v>
      </c>
      <c r="P7" s="9" t="s">
        <v>10</v>
      </c>
      <c r="Q7" s="324"/>
      <c r="R7" s="273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3.2" x14ac:dyDescent="0.25">
      <c r="A8" s="10">
        <v>44531</v>
      </c>
      <c r="B8" s="165"/>
      <c r="C8" s="166"/>
      <c r="D8" s="167"/>
      <c r="E8" s="168"/>
      <c r="F8" s="166"/>
      <c r="G8" s="167"/>
      <c r="H8" s="168"/>
      <c r="I8" s="166"/>
      <c r="J8" s="167"/>
      <c r="K8" s="168"/>
      <c r="L8" s="166"/>
      <c r="M8" s="167"/>
      <c r="N8" s="168"/>
      <c r="O8" s="166"/>
      <c r="P8" s="167"/>
      <c r="Q8" s="309"/>
      <c r="R8" s="298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3.2" x14ac:dyDescent="0.25">
      <c r="A9" s="15">
        <f t="shared" ref="A9:A22" si="0">A8+1</f>
        <v>44532</v>
      </c>
      <c r="B9" s="16"/>
      <c r="C9" s="17"/>
      <c r="D9" s="18"/>
      <c r="E9" s="19"/>
      <c r="F9" s="17"/>
      <c r="G9" s="18"/>
      <c r="H9" s="19"/>
      <c r="I9" s="17"/>
      <c r="J9" s="18"/>
      <c r="K9" s="19"/>
      <c r="L9" s="17"/>
      <c r="M9" s="18"/>
      <c r="N9" s="19"/>
      <c r="O9" s="17"/>
      <c r="P9" s="18"/>
      <c r="Q9" s="310"/>
      <c r="R9" s="27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3.2" x14ac:dyDescent="0.25">
      <c r="A10" s="21">
        <f t="shared" si="0"/>
        <v>44533</v>
      </c>
      <c r="B10" s="165"/>
      <c r="C10" s="22"/>
      <c r="D10" s="23"/>
      <c r="E10" s="24"/>
      <c r="F10" s="22"/>
      <c r="G10" s="23"/>
      <c r="H10" s="24"/>
      <c r="I10" s="22"/>
      <c r="J10" s="23"/>
      <c r="K10" s="24"/>
      <c r="L10" s="22"/>
      <c r="M10" s="23"/>
      <c r="N10" s="24"/>
      <c r="O10" s="22"/>
      <c r="P10" s="23"/>
      <c r="Q10" s="295"/>
      <c r="R10" s="27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3.2" x14ac:dyDescent="0.25">
      <c r="A11" s="21">
        <f t="shared" si="0"/>
        <v>44534</v>
      </c>
      <c r="B11" s="165"/>
      <c r="C11" s="22"/>
      <c r="D11" s="23"/>
      <c r="E11" s="24"/>
      <c r="F11" s="22"/>
      <c r="G11" s="23"/>
      <c r="H11" s="24"/>
      <c r="I11" s="22"/>
      <c r="J11" s="23"/>
      <c r="K11" s="24"/>
      <c r="L11" s="22"/>
      <c r="M11" s="23"/>
      <c r="N11" s="24"/>
      <c r="O11" s="22"/>
      <c r="P11" s="23"/>
      <c r="Q11" s="295"/>
      <c r="R11" s="27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3.2" x14ac:dyDescent="0.25">
      <c r="A12" s="21">
        <f t="shared" si="0"/>
        <v>44535</v>
      </c>
      <c r="B12" s="165"/>
      <c r="C12" s="22"/>
      <c r="D12" s="23"/>
      <c r="E12" s="24"/>
      <c r="F12" s="22"/>
      <c r="G12" s="23"/>
      <c r="H12" s="24"/>
      <c r="I12" s="22"/>
      <c r="J12" s="23"/>
      <c r="K12" s="24"/>
      <c r="L12" s="22"/>
      <c r="M12" s="23"/>
      <c r="N12" s="24"/>
      <c r="O12" s="22"/>
      <c r="P12" s="23"/>
      <c r="Q12" s="295"/>
      <c r="R12" s="27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3.2" x14ac:dyDescent="0.25">
      <c r="A13" s="21">
        <f t="shared" si="0"/>
        <v>44536</v>
      </c>
      <c r="B13" s="165"/>
      <c r="C13" s="22"/>
      <c r="D13" s="23"/>
      <c r="E13" s="24"/>
      <c r="F13" s="22"/>
      <c r="G13" s="23"/>
      <c r="H13" s="24"/>
      <c r="I13" s="22"/>
      <c r="J13" s="23"/>
      <c r="K13" s="24"/>
      <c r="L13" s="22"/>
      <c r="M13" s="23"/>
      <c r="N13" s="24"/>
      <c r="O13" s="22"/>
      <c r="P13" s="23"/>
      <c r="Q13" s="295"/>
      <c r="R13" s="27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3.2" x14ac:dyDescent="0.25">
      <c r="A14" s="21">
        <f t="shared" si="0"/>
        <v>44537</v>
      </c>
      <c r="B14" s="165"/>
      <c r="C14" s="22"/>
      <c r="D14" s="23"/>
      <c r="E14" s="24"/>
      <c r="F14" s="22"/>
      <c r="G14" s="23"/>
      <c r="H14" s="24"/>
      <c r="I14" s="22"/>
      <c r="J14" s="23"/>
      <c r="K14" s="24"/>
      <c r="L14" s="22"/>
      <c r="M14" s="23"/>
      <c r="N14" s="24"/>
      <c r="O14" s="22"/>
      <c r="P14" s="23"/>
      <c r="Q14" s="295"/>
      <c r="R14" s="27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3.2" x14ac:dyDescent="0.25">
      <c r="A15" s="21">
        <f t="shared" si="0"/>
        <v>44538</v>
      </c>
      <c r="B15" s="165"/>
      <c r="C15" s="22"/>
      <c r="D15" s="23"/>
      <c r="E15" s="24"/>
      <c r="F15" s="22"/>
      <c r="G15" s="23"/>
      <c r="H15" s="24"/>
      <c r="I15" s="22"/>
      <c r="J15" s="23"/>
      <c r="K15" s="24"/>
      <c r="L15" s="22"/>
      <c r="M15" s="23"/>
      <c r="N15" s="24"/>
      <c r="O15" s="22"/>
      <c r="P15" s="23"/>
      <c r="Q15" s="294"/>
      <c r="R15" s="27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3.2" x14ac:dyDescent="0.25">
      <c r="A16" s="21">
        <f t="shared" si="0"/>
        <v>44539</v>
      </c>
      <c r="B16" s="165"/>
      <c r="C16" s="22"/>
      <c r="D16" s="23"/>
      <c r="E16" s="24"/>
      <c r="F16" s="22"/>
      <c r="G16" s="23"/>
      <c r="H16" s="24"/>
      <c r="I16" s="22"/>
      <c r="J16" s="23"/>
      <c r="K16" s="24"/>
      <c r="L16" s="22"/>
      <c r="M16" s="23"/>
      <c r="N16" s="24"/>
      <c r="O16" s="22"/>
      <c r="P16" s="23"/>
      <c r="Q16" s="295"/>
      <c r="R16" s="27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3.8" x14ac:dyDescent="0.3">
      <c r="A17" s="21">
        <f t="shared" si="0"/>
        <v>44540</v>
      </c>
      <c r="B17" s="165"/>
      <c r="C17" s="22"/>
      <c r="D17" s="23"/>
      <c r="E17" s="24"/>
      <c r="F17" s="22"/>
      <c r="G17" s="23"/>
      <c r="H17" s="24"/>
      <c r="I17" s="22"/>
      <c r="J17" s="23"/>
      <c r="K17" s="24"/>
      <c r="L17" s="22"/>
      <c r="M17" s="23"/>
      <c r="N17" s="24"/>
      <c r="O17" s="22"/>
      <c r="P17" s="23"/>
      <c r="Q17" s="295"/>
      <c r="R17" s="276"/>
      <c r="S17" s="6"/>
      <c r="T17" s="6"/>
      <c r="U17" s="25">
        <v>43466</v>
      </c>
      <c r="V17" s="1" t="s">
        <v>11</v>
      </c>
      <c r="W17" s="6"/>
      <c r="X17" s="6"/>
      <c r="Y17" s="6"/>
      <c r="Z17" s="6"/>
      <c r="AA17" s="6"/>
      <c r="AB17" s="6"/>
      <c r="AC17" s="6"/>
    </row>
    <row r="18" spans="1:29" ht="13.8" x14ac:dyDescent="0.3">
      <c r="A18" s="21">
        <f t="shared" si="0"/>
        <v>44541</v>
      </c>
      <c r="B18" s="165"/>
      <c r="C18" s="22"/>
      <c r="D18" s="23"/>
      <c r="E18" s="24"/>
      <c r="F18" s="22"/>
      <c r="G18" s="23"/>
      <c r="H18" s="24"/>
      <c r="I18" s="22"/>
      <c r="J18" s="23"/>
      <c r="K18" s="24"/>
      <c r="L18" s="22"/>
      <c r="M18" s="23"/>
      <c r="N18" s="24"/>
      <c r="O18" s="22"/>
      <c r="P18" s="23"/>
      <c r="Q18" s="294"/>
      <c r="R18" s="276"/>
      <c r="S18" s="6"/>
      <c r="T18" s="6"/>
      <c r="U18" s="25">
        <v>43612</v>
      </c>
      <c r="V18" s="1" t="s">
        <v>12</v>
      </c>
      <c r="W18" s="6"/>
      <c r="X18" s="6"/>
      <c r="Y18" s="6"/>
      <c r="Z18" s="6"/>
      <c r="AA18" s="6"/>
      <c r="AB18" s="6"/>
      <c r="AC18" s="6"/>
    </row>
    <row r="19" spans="1:29" ht="13.8" x14ac:dyDescent="0.3">
      <c r="A19" s="21">
        <f t="shared" si="0"/>
        <v>44542</v>
      </c>
      <c r="B19" s="165"/>
      <c r="C19" s="22"/>
      <c r="D19" s="23"/>
      <c r="E19" s="24"/>
      <c r="F19" s="22"/>
      <c r="G19" s="23"/>
      <c r="H19" s="24"/>
      <c r="I19" s="22"/>
      <c r="J19" s="23"/>
      <c r="K19" s="24"/>
      <c r="L19" s="22"/>
      <c r="M19" s="23"/>
      <c r="N19" s="24"/>
      <c r="O19" s="22"/>
      <c r="P19" s="23"/>
      <c r="Q19" s="295"/>
      <c r="R19" s="276"/>
      <c r="S19" s="6"/>
      <c r="T19" s="6"/>
      <c r="U19" s="25">
        <v>43650</v>
      </c>
      <c r="V19" s="1" t="s">
        <v>13</v>
      </c>
      <c r="W19" s="6"/>
      <c r="X19" s="6"/>
      <c r="Y19" s="6"/>
      <c r="Z19" s="6"/>
      <c r="AA19" s="6"/>
      <c r="AB19" s="6"/>
      <c r="AC19" s="6"/>
    </row>
    <row r="20" spans="1:29" ht="15.75" customHeight="1" x14ac:dyDescent="0.3">
      <c r="A20" s="21">
        <f t="shared" si="0"/>
        <v>44543</v>
      </c>
      <c r="B20" s="165"/>
      <c r="C20" s="22"/>
      <c r="D20" s="23"/>
      <c r="E20" s="24"/>
      <c r="F20" s="22"/>
      <c r="G20" s="23"/>
      <c r="H20" s="24"/>
      <c r="I20" s="22"/>
      <c r="J20" s="23"/>
      <c r="K20" s="24"/>
      <c r="L20" s="22"/>
      <c r="M20" s="23"/>
      <c r="N20" s="24"/>
      <c r="O20" s="22"/>
      <c r="P20" s="23"/>
      <c r="Q20" s="295"/>
      <c r="R20" s="276"/>
      <c r="S20" s="6"/>
      <c r="T20" s="6"/>
      <c r="U20" s="25">
        <v>43710</v>
      </c>
      <c r="V20" s="1" t="s">
        <v>14</v>
      </c>
      <c r="W20" s="6"/>
      <c r="X20" s="6"/>
      <c r="Y20" s="6"/>
      <c r="Z20" s="6"/>
      <c r="AA20" s="6"/>
      <c r="AB20" s="6"/>
      <c r="AC20" s="6"/>
    </row>
    <row r="21" spans="1:29" ht="15.75" customHeight="1" x14ac:dyDescent="0.3">
      <c r="A21" s="21">
        <f t="shared" si="0"/>
        <v>44544</v>
      </c>
      <c r="B21" s="165"/>
      <c r="C21" s="22"/>
      <c r="D21" s="23"/>
      <c r="E21" s="24"/>
      <c r="F21" s="22"/>
      <c r="G21" s="23"/>
      <c r="H21" s="24"/>
      <c r="I21" s="22"/>
      <c r="J21" s="23"/>
      <c r="K21" s="24"/>
      <c r="L21" s="22"/>
      <c r="M21" s="23"/>
      <c r="N21" s="24"/>
      <c r="O21" s="22"/>
      <c r="P21" s="23"/>
      <c r="Q21" s="295"/>
      <c r="R21" s="276"/>
      <c r="S21" s="6"/>
      <c r="T21" s="6"/>
      <c r="U21" s="25">
        <v>43780</v>
      </c>
      <c r="V21" s="1" t="s">
        <v>15</v>
      </c>
      <c r="W21" s="6"/>
      <c r="X21" s="6"/>
      <c r="Y21" s="6"/>
      <c r="Z21" s="6"/>
      <c r="AA21" s="6"/>
      <c r="AB21" s="6"/>
      <c r="AC21" s="6"/>
    </row>
    <row r="22" spans="1:29" ht="15.75" customHeight="1" x14ac:dyDescent="0.3">
      <c r="A22" s="26">
        <f t="shared" si="0"/>
        <v>44545</v>
      </c>
      <c r="B22" s="165"/>
      <c r="C22" s="169"/>
      <c r="D22" s="170"/>
      <c r="E22" s="171"/>
      <c r="F22" s="169"/>
      <c r="G22" s="170"/>
      <c r="H22" s="171"/>
      <c r="I22" s="169"/>
      <c r="J22" s="170"/>
      <c r="K22" s="171"/>
      <c r="L22" s="169"/>
      <c r="M22" s="170"/>
      <c r="N22" s="171"/>
      <c r="O22" s="169"/>
      <c r="P22" s="170"/>
      <c r="Q22" s="307"/>
      <c r="R22" s="308"/>
      <c r="S22" s="27"/>
      <c r="T22" s="27"/>
      <c r="U22" s="25">
        <v>43797</v>
      </c>
      <c r="V22" s="1" t="s">
        <v>41</v>
      </c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28" t="s">
        <v>17</v>
      </c>
      <c r="B23" s="302">
        <f>SUM(B8:B22)</f>
        <v>0</v>
      </c>
      <c r="C23" s="297"/>
      <c r="D23" s="298"/>
      <c r="E23" s="302">
        <f>SUM(E8:E22)</f>
        <v>0</v>
      </c>
      <c r="F23" s="297"/>
      <c r="G23" s="298"/>
      <c r="H23" s="302">
        <f>SUM(H8:H22)</f>
        <v>0</v>
      </c>
      <c r="I23" s="297"/>
      <c r="J23" s="298"/>
      <c r="K23" s="302">
        <f>SUM(K8:K22)</f>
        <v>0</v>
      </c>
      <c r="L23" s="297"/>
      <c r="M23" s="298"/>
      <c r="N23" s="302">
        <f>SUM(N8:N22)</f>
        <v>0</v>
      </c>
      <c r="O23" s="297"/>
      <c r="P23" s="298"/>
      <c r="Q23" s="29" t="s">
        <v>18</v>
      </c>
      <c r="R23" s="30">
        <f t="shared" ref="R23:R25" si="1">SUM(B23:P23)</f>
        <v>0</v>
      </c>
      <c r="S23" s="31"/>
      <c r="T23" s="31"/>
      <c r="U23" s="25">
        <v>43824</v>
      </c>
      <c r="V23" s="1" t="s">
        <v>19</v>
      </c>
      <c r="W23" s="31"/>
      <c r="X23" s="31"/>
      <c r="Y23" s="31"/>
      <c r="Z23" s="31"/>
      <c r="AA23" s="31"/>
      <c r="AB23" s="31"/>
      <c r="AC23" s="31"/>
    </row>
    <row r="24" spans="1:29" ht="15.75" customHeight="1" x14ac:dyDescent="0.3">
      <c r="A24" s="32" t="s">
        <v>20</v>
      </c>
      <c r="B24" s="277">
        <f>SUM(C8:C23)</f>
        <v>0</v>
      </c>
      <c r="C24" s="275"/>
      <c r="D24" s="276"/>
      <c r="E24" s="277">
        <f>SUM(F8:F23)</f>
        <v>0</v>
      </c>
      <c r="F24" s="275"/>
      <c r="G24" s="276"/>
      <c r="H24" s="277">
        <f>SUM(I8:I23)</f>
        <v>0</v>
      </c>
      <c r="I24" s="275"/>
      <c r="J24" s="276"/>
      <c r="K24" s="277">
        <f>SUM(L8:L23)</f>
        <v>0</v>
      </c>
      <c r="L24" s="275"/>
      <c r="M24" s="276"/>
      <c r="N24" s="277">
        <f>SUM(O8:O23)</f>
        <v>0</v>
      </c>
      <c r="O24" s="275"/>
      <c r="P24" s="276"/>
      <c r="Q24" s="33" t="s">
        <v>21</v>
      </c>
      <c r="R24" s="34">
        <f t="shared" si="1"/>
        <v>0</v>
      </c>
      <c r="S24" s="31"/>
      <c r="T24" s="31"/>
      <c r="U24" s="6"/>
      <c r="V24" s="6"/>
      <c r="W24" s="31"/>
      <c r="X24" s="31"/>
      <c r="Y24" s="31"/>
      <c r="Z24" s="31"/>
      <c r="AA24" s="31"/>
      <c r="AB24" s="31"/>
      <c r="AC24" s="31"/>
    </row>
    <row r="25" spans="1:29" ht="15.75" customHeight="1" x14ac:dyDescent="0.3">
      <c r="A25" s="35" t="s">
        <v>22</v>
      </c>
      <c r="B25" s="266">
        <f>SUM(D8:D22)</f>
        <v>0</v>
      </c>
      <c r="C25" s="267"/>
      <c r="D25" s="270"/>
      <c r="E25" s="266">
        <f>SUM(G8:G22)</f>
        <v>0</v>
      </c>
      <c r="F25" s="267"/>
      <c r="G25" s="270"/>
      <c r="H25" s="266">
        <f>SUM(J8:J22)</f>
        <v>0</v>
      </c>
      <c r="I25" s="267"/>
      <c r="J25" s="270"/>
      <c r="K25" s="266">
        <f>SUM(M8:M22)</f>
        <v>0</v>
      </c>
      <c r="L25" s="267"/>
      <c r="M25" s="270"/>
      <c r="N25" s="266">
        <f>SUM(P8:P22)</f>
        <v>0</v>
      </c>
      <c r="O25" s="267"/>
      <c r="P25" s="270"/>
      <c r="Q25" s="36" t="s">
        <v>23</v>
      </c>
      <c r="R25" s="37">
        <f t="shared" si="1"/>
        <v>0</v>
      </c>
      <c r="S25" s="31"/>
      <c r="T25" s="31"/>
      <c r="U25" s="6"/>
      <c r="V25" s="6"/>
      <c r="W25" s="31"/>
      <c r="X25" s="31"/>
      <c r="Y25" s="31"/>
      <c r="Z25" s="31"/>
      <c r="AA25" s="31"/>
      <c r="AB25" s="31"/>
      <c r="AC25" s="31"/>
    </row>
    <row r="26" spans="1:29" ht="15.75" customHeight="1" x14ac:dyDescent="0.25">
      <c r="A26" s="10">
        <f>A22+1</f>
        <v>44546</v>
      </c>
      <c r="B26" s="172"/>
      <c r="C26" s="173"/>
      <c r="D26" s="174"/>
      <c r="E26" s="175"/>
      <c r="F26" s="173"/>
      <c r="G26" s="174"/>
      <c r="H26" s="175"/>
      <c r="I26" s="173"/>
      <c r="J26" s="174"/>
      <c r="K26" s="175"/>
      <c r="L26" s="173"/>
      <c r="M26" s="174"/>
      <c r="N26" s="175"/>
      <c r="O26" s="173"/>
      <c r="P26" s="174"/>
      <c r="Q26" s="305"/>
      <c r="R26" s="300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5">
      <c r="A27" s="21">
        <f t="shared" ref="A27:A41" si="2">A26+1</f>
        <v>44547</v>
      </c>
      <c r="B27" s="172"/>
      <c r="C27" s="22"/>
      <c r="D27" s="23"/>
      <c r="E27" s="24"/>
      <c r="F27" s="22"/>
      <c r="G27" s="23"/>
      <c r="H27" s="24"/>
      <c r="I27" s="22"/>
      <c r="J27" s="23"/>
      <c r="K27" s="24"/>
      <c r="L27" s="22"/>
      <c r="M27" s="23"/>
      <c r="N27" s="24"/>
      <c r="O27" s="22"/>
      <c r="P27" s="23"/>
      <c r="Q27" s="294"/>
      <c r="R27" s="27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5">
      <c r="A28" s="21">
        <f t="shared" si="2"/>
        <v>44548</v>
      </c>
      <c r="B28" s="172"/>
      <c r="C28" s="22"/>
      <c r="D28" s="23"/>
      <c r="E28" s="24"/>
      <c r="F28" s="22"/>
      <c r="G28" s="23"/>
      <c r="H28" s="24"/>
      <c r="I28" s="22"/>
      <c r="J28" s="23"/>
      <c r="K28" s="24"/>
      <c r="L28" s="22"/>
      <c r="M28" s="23"/>
      <c r="N28" s="24"/>
      <c r="O28" s="22"/>
      <c r="P28" s="23"/>
      <c r="Q28" s="295"/>
      <c r="R28" s="27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21">
        <f t="shared" si="2"/>
        <v>44549</v>
      </c>
      <c r="B29" s="172"/>
      <c r="C29" s="22"/>
      <c r="D29" s="23"/>
      <c r="E29" s="24"/>
      <c r="F29" s="22"/>
      <c r="G29" s="23"/>
      <c r="H29" s="24"/>
      <c r="I29" s="22"/>
      <c r="J29" s="23"/>
      <c r="K29" s="24"/>
      <c r="L29" s="22"/>
      <c r="M29" s="23"/>
      <c r="N29" s="24"/>
      <c r="O29" s="22"/>
      <c r="P29" s="23"/>
      <c r="Q29" s="295"/>
      <c r="R29" s="27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5">
      <c r="A30" s="21">
        <f t="shared" si="2"/>
        <v>44550</v>
      </c>
      <c r="B30" s="172"/>
      <c r="C30" s="22"/>
      <c r="D30" s="23"/>
      <c r="E30" s="24"/>
      <c r="F30" s="22"/>
      <c r="G30" s="23"/>
      <c r="H30" s="24"/>
      <c r="I30" s="22"/>
      <c r="J30" s="23"/>
      <c r="K30" s="24"/>
      <c r="L30" s="22"/>
      <c r="M30" s="23"/>
      <c r="N30" s="24"/>
      <c r="O30" s="22"/>
      <c r="P30" s="23"/>
      <c r="Q30" s="295"/>
      <c r="R30" s="27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5">
      <c r="A31" s="21">
        <f t="shared" si="2"/>
        <v>44551</v>
      </c>
      <c r="B31" s="172"/>
      <c r="C31" s="22"/>
      <c r="D31" s="23"/>
      <c r="E31" s="24"/>
      <c r="F31" s="22"/>
      <c r="G31" s="23"/>
      <c r="H31" s="24"/>
      <c r="I31" s="22"/>
      <c r="J31" s="23"/>
      <c r="K31" s="24"/>
      <c r="L31" s="22"/>
      <c r="M31" s="23"/>
      <c r="N31" s="24"/>
      <c r="O31" s="22"/>
      <c r="P31" s="23"/>
      <c r="Q31" s="306"/>
      <c r="R31" s="27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5">
      <c r="A32" s="21">
        <f t="shared" si="2"/>
        <v>44552</v>
      </c>
      <c r="B32" s="172"/>
      <c r="C32" s="22"/>
      <c r="D32" s="23"/>
      <c r="E32" s="24"/>
      <c r="F32" s="22"/>
      <c r="G32" s="23"/>
      <c r="H32" s="24"/>
      <c r="I32" s="22"/>
      <c r="J32" s="23"/>
      <c r="K32" s="24"/>
      <c r="L32" s="22"/>
      <c r="M32" s="23"/>
      <c r="N32" s="24"/>
      <c r="O32" s="22"/>
      <c r="P32" s="23"/>
      <c r="Q32" s="333"/>
      <c r="R32" s="27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5">
      <c r="A33" s="21">
        <f t="shared" si="2"/>
        <v>44553</v>
      </c>
      <c r="B33" s="172"/>
      <c r="C33" s="22"/>
      <c r="D33" s="23"/>
      <c r="E33" s="24"/>
      <c r="F33" s="22"/>
      <c r="G33" s="23"/>
      <c r="H33" s="24"/>
      <c r="I33" s="22"/>
      <c r="J33" s="23"/>
      <c r="K33" s="24"/>
      <c r="L33" s="22"/>
      <c r="M33" s="23"/>
      <c r="N33" s="24"/>
      <c r="O33" s="22"/>
      <c r="P33" s="23"/>
      <c r="Q33" s="294"/>
      <c r="R33" s="27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5">
      <c r="A34" s="21">
        <f t="shared" si="2"/>
        <v>44554</v>
      </c>
      <c r="B34" s="172"/>
      <c r="C34" s="22"/>
      <c r="D34" s="23"/>
      <c r="E34" s="24"/>
      <c r="F34" s="22"/>
      <c r="G34" s="23"/>
      <c r="H34" s="24"/>
      <c r="I34" s="22"/>
      <c r="J34" s="23"/>
      <c r="K34" s="24"/>
      <c r="L34" s="22"/>
      <c r="M34" s="23"/>
      <c r="N34" s="24"/>
      <c r="O34" s="22"/>
      <c r="P34" s="23"/>
      <c r="Q34" s="295"/>
      <c r="R34" s="27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5">
      <c r="A35" s="62">
        <f t="shared" si="2"/>
        <v>44555</v>
      </c>
      <c r="B35" s="63"/>
      <c r="C35" s="64"/>
      <c r="D35" s="65"/>
      <c r="E35" s="66"/>
      <c r="F35" s="64"/>
      <c r="G35" s="65"/>
      <c r="H35" s="66"/>
      <c r="I35" s="64"/>
      <c r="J35" s="65"/>
      <c r="K35" s="66"/>
      <c r="L35" s="64"/>
      <c r="M35" s="65"/>
      <c r="N35" s="66"/>
      <c r="O35" s="64"/>
      <c r="P35" s="65"/>
      <c r="Q35" s="332" t="s">
        <v>80</v>
      </c>
      <c r="R35" s="27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5">
      <c r="A36" s="21">
        <f t="shared" si="2"/>
        <v>44556</v>
      </c>
      <c r="B36" s="172"/>
      <c r="C36" s="22"/>
      <c r="D36" s="23"/>
      <c r="E36" s="24"/>
      <c r="F36" s="22"/>
      <c r="G36" s="23"/>
      <c r="H36" s="24"/>
      <c r="I36" s="22"/>
      <c r="J36" s="23"/>
      <c r="K36" s="24"/>
      <c r="L36" s="22"/>
      <c r="M36" s="23"/>
      <c r="N36" s="24"/>
      <c r="O36" s="22"/>
      <c r="P36" s="23"/>
      <c r="Q36" s="294"/>
      <c r="R36" s="27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5">
      <c r="A37" s="21">
        <f t="shared" si="2"/>
        <v>44557</v>
      </c>
      <c r="B37" s="172"/>
      <c r="C37" s="22"/>
      <c r="D37" s="23"/>
      <c r="E37" s="24"/>
      <c r="F37" s="22"/>
      <c r="G37" s="23"/>
      <c r="H37" s="24"/>
      <c r="I37" s="22"/>
      <c r="J37" s="23"/>
      <c r="K37" s="24"/>
      <c r="L37" s="22"/>
      <c r="M37" s="23"/>
      <c r="N37" s="24"/>
      <c r="O37" s="22"/>
      <c r="P37" s="23"/>
      <c r="Q37" s="295"/>
      <c r="R37" s="27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5">
      <c r="A38" s="15">
        <f t="shared" si="2"/>
        <v>44558</v>
      </c>
      <c r="B38" s="67"/>
      <c r="C38" s="17"/>
      <c r="D38" s="18"/>
      <c r="E38" s="19"/>
      <c r="F38" s="17"/>
      <c r="G38" s="18"/>
      <c r="H38" s="19"/>
      <c r="I38" s="17"/>
      <c r="J38" s="18"/>
      <c r="K38" s="19"/>
      <c r="L38" s="17"/>
      <c r="M38" s="18"/>
      <c r="N38" s="19"/>
      <c r="O38" s="17"/>
      <c r="P38" s="18"/>
      <c r="Q38" s="333"/>
      <c r="R38" s="27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5">
      <c r="A39" s="21">
        <f t="shared" si="2"/>
        <v>44559</v>
      </c>
      <c r="B39" s="172"/>
      <c r="C39" s="22"/>
      <c r="D39" s="23"/>
      <c r="E39" s="24"/>
      <c r="F39" s="22"/>
      <c r="G39" s="23"/>
      <c r="H39" s="24"/>
      <c r="I39" s="22"/>
      <c r="J39" s="23"/>
      <c r="K39" s="24"/>
      <c r="L39" s="22"/>
      <c r="M39" s="23"/>
      <c r="N39" s="24"/>
      <c r="O39" s="22"/>
      <c r="P39" s="23"/>
      <c r="Q39" s="295"/>
      <c r="R39" s="27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x14ac:dyDescent="0.25">
      <c r="A40" s="21">
        <f t="shared" si="2"/>
        <v>44560</v>
      </c>
      <c r="B40" s="172"/>
      <c r="C40" s="22"/>
      <c r="D40" s="23"/>
      <c r="E40" s="24"/>
      <c r="F40" s="22"/>
      <c r="G40" s="23"/>
      <c r="H40" s="24"/>
      <c r="I40" s="22"/>
      <c r="J40" s="23"/>
      <c r="K40" s="24"/>
      <c r="L40" s="22"/>
      <c r="M40" s="23"/>
      <c r="N40" s="24"/>
      <c r="O40" s="22"/>
      <c r="P40" s="23"/>
      <c r="Q40" s="295"/>
      <c r="R40" s="276"/>
      <c r="S40" s="6"/>
      <c r="T40" s="6"/>
      <c r="U40" s="38"/>
      <c r="V40" s="38"/>
      <c r="W40" s="6"/>
      <c r="X40" s="6"/>
      <c r="Y40" s="6"/>
      <c r="Z40" s="6"/>
      <c r="AA40" s="6"/>
      <c r="AB40" s="6"/>
      <c r="AC40" s="6"/>
    </row>
    <row r="41" spans="1:29" ht="15.75" customHeight="1" x14ac:dyDescent="0.25">
      <c r="A41" s="68">
        <f t="shared" si="2"/>
        <v>44561</v>
      </c>
      <c r="B41" s="69"/>
      <c r="C41" s="70"/>
      <c r="D41" s="71"/>
      <c r="E41" s="72"/>
      <c r="F41" s="70"/>
      <c r="G41" s="71"/>
      <c r="H41" s="72"/>
      <c r="I41" s="70"/>
      <c r="J41" s="71"/>
      <c r="K41" s="72"/>
      <c r="L41" s="70"/>
      <c r="M41" s="71"/>
      <c r="N41" s="72"/>
      <c r="O41" s="70"/>
      <c r="P41" s="71"/>
      <c r="Q41" s="334" t="s">
        <v>58</v>
      </c>
      <c r="R41" s="308"/>
      <c r="S41" s="6"/>
      <c r="T41" s="6"/>
      <c r="U41" s="38"/>
      <c r="V41" s="38"/>
      <c r="W41" s="6"/>
      <c r="X41" s="6"/>
      <c r="Y41" s="6"/>
      <c r="Z41" s="6"/>
      <c r="AA41" s="6"/>
      <c r="AB41" s="6"/>
      <c r="AC41" s="6"/>
    </row>
    <row r="42" spans="1:29" ht="15.75" customHeight="1" x14ac:dyDescent="0.3">
      <c r="A42" s="39" t="s">
        <v>24</v>
      </c>
      <c r="B42" s="296">
        <f>SUM(B26:B41)</f>
        <v>0</v>
      </c>
      <c r="C42" s="297"/>
      <c r="D42" s="298"/>
      <c r="E42" s="302">
        <f>SUM(E26:E41)</f>
        <v>0</v>
      </c>
      <c r="F42" s="297"/>
      <c r="G42" s="303"/>
      <c r="H42" s="296">
        <f>SUM(H26:H41)</f>
        <v>0</v>
      </c>
      <c r="I42" s="297"/>
      <c r="J42" s="298"/>
      <c r="K42" s="296">
        <f>SUM(K26:K41)</f>
        <v>0</v>
      </c>
      <c r="L42" s="297"/>
      <c r="M42" s="298"/>
      <c r="N42" s="302">
        <f>SUM(N26:N41)</f>
        <v>0</v>
      </c>
      <c r="O42" s="297"/>
      <c r="P42" s="303"/>
      <c r="Q42" s="29" t="s">
        <v>18</v>
      </c>
      <c r="R42" s="40">
        <f t="shared" ref="R42:R44" si="3">SUM(B42:P42)</f>
        <v>0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15.75" customHeight="1" x14ac:dyDescent="0.3">
      <c r="A43" s="41" t="s">
        <v>25</v>
      </c>
      <c r="B43" s="274">
        <f>SUM(C26:C42)</f>
        <v>0</v>
      </c>
      <c r="C43" s="275"/>
      <c r="D43" s="276"/>
      <c r="E43" s="277">
        <f>SUM(F26:F42)</f>
        <v>0</v>
      </c>
      <c r="F43" s="275"/>
      <c r="G43" s="304"/>
      <c r="H43" s="274">
        <f>SUM(I26:I42)</f>
        <v>0</v>
      </c>
      <c r="I43" s="275"/>
      <c r="J43" s="276"/>
      <c r="K43" s="274">
        <f>SUM(L26:L42)</f>
        <v>0</v>
      </c>
      <c r="L43" s="275"/>
      <c r="M43" s="276"/>
      <c r="N43" s="277">
        <f>SUM(O26:O42)</f>
        <v>0</v>
      </c>
      <c r="O43" s="275"/>
      <c r="P43" s="304"/>
      <c r="Q43" s="33" t="s">
        <v>26</v>
      </c>
      <c r="R43" s="42">
        <f t="shared" si="3"/>
        <v>0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15.75" customHeight="1" x14ac:dyDescent="0.3">
      <c r="A44" s="43" t="s">
        <v>27</v>
      </c>
      <c r="B44" s="269">
        <f>SUM(D26:D41)</f>
        <v>0</v>
      </c>
      <c r="C44" s="267"/>
      <c r="D44" s="270"/>
      <c r="E44" s="266">
        <f>SUM(G26:G41)</f>
        <v>0</v>
      </c>
      <c r="F44" s="267"/>
      <c r="G44" s="268"/>
      <c r="H44" s="269">
        <f>SUM(J26:J41)</f>
        <v>0</v>
      </c>
      <c r="I44" s="267"/>
      <c r="J44" s="270"/>
      <c r="K44" s="269">
        <f>SUM(M26:M41)</f>
        <v>0</v>
      </c>
      <c r="L44" s="267"/>
      <c r="M44" s="270"/>
      <c r="N44" s="266">
        <f>SUM(P26:P41)</f>
        <v>0</v>
      </c>
      <c r="O44" s="267"/>
      <c r="P44" s="268"/>
      <c r="Q44" s="36" t="s">
        <v>23</v>
      </c>
      <c r="R44" s="44">
        <f t="shared" si="3"/>
        <v>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7.5" customHeight="1" x14ac:dyDescent="0.3">
      <c r="A45" s="176"/>
      <c r="B45" s="271" t="str">
        <f>IF(ISBLANK(B5),"",B5)</f>
        <v/>
      </c>
      <c r="C45" s="272"/>
      <c r="D45" s="273"/>
      <c r="E45" s="271" t="str">
        <f>IF(ISBLANK(E5),"",E5)</f>
        <v/>
      </c>
      <c r="F45" s="272"/>
      <c r="G45" s="273"/>
      <c r="H45" s="271" t="str">
        <f>IF(ISBLANK(H5),"",H5)</f>
        <v/>
      </c>
      <c r="I45" s="272"/>
      <c r="J45" s="273"/>
      <c r="K45" s="271" t="str">
        <f>IF(ISBLANK(K5),"",K5)</f>
        <v/>
      </c>
      <c r="L45" s="272"/>
      <c r="M45" s="273"/>
      <c r="N45" s="271" t="str">
        <f>IF(ISBLANK(N5),"",N5)</f>
        <v/>
      </c>
      <c r="O45" s="272"/>
      <c r="P45" s="273"/>
      <c r="Q45" s="264"/>
      <c r="R45" s="265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15.75" customHeight="1" x14ac:dyDescent="0.3">
      <c r="A46" s="45" t="s">
        <v>28</v>
      </c>
      <c r="B46" s="296">
        <f t="shared" ref="B46:B48" si="4">B23+B42</f>
        <v>0</v>
      </c>
      <c r="C46" s="297"/>
      <c r="D46" s="298"/>
      <c r="E46" s="299">
        <f t="shared" ref="E46:E48" si="5">E23+E42</f>
        <v>0</v>
      </c>
      <c r="F46" s="279"/>
      <c r="G46" s="300"/>
      <c r="H46" s="299">
        <f t="shared" ref="H46:H48" si="6">H23+H42</f>
        <v>0</v>
      </c>
      <c r="I46" s="279"/>
      <c r="J46" s="300"/>
      <c r="K46" s="299">
        <f t="shared" ref="K46:K48" si="7">K23+K42</f>
        <v>0</v>
      </c>
      <c r="L46" s="279"/>
      <c r="M46" s="300"/>
      <c r="N46" s="299">
        <f t="shared" ref="N46:N48" si="8">N23+N42</f>
        <v>0</v>
      </c>
      <c r="O46" s="279"/>
      <c r="P46" s="300"/>
      <c r="Q46" s="29" t="s">
        <v>18</v>
      </c>
      <c r="R46" s="40">
        <f t="shared" ref="R46:R48" si="9">SUM(B46:P46)</f>
        <v>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15.75" customHeight="1" x14ac:dyDescent="0.3">
      <c r="A47" s="32" t="s">
        <v>29</v>
      </c>
      <c r="B47" s="277">
        <f t="shared" si="4"/>
        <v>0</v>
      </c>
      <c r="C47" s="275"/>
      <c r="D47" s="276"/>
      <c r="E47" s="274">
        <f t="shared" si="5"/>
        <v>0</v>
      </c>
      <c r="F47" s="275"/>
      <c r="G47" s="276"/>
      <c r="H47" s="274">
        <f t="shared" si="6"/>
        <v>0</v>
      </c>
      <c r="I47" s="275"/>
      <c r="J47" s="276"/>
      <c r="K47" s="274">
        <f t="shared" si="7"/>
        <v>0</v>
      </c>
      <c r="L47" s="275"/>
      <c r="M47" s="276"/>
      <c r="N47" s="274">
        <f t="shared" si="8"/>
        <v>0</v>
      </c>
      <c r="O47" s="275"/>
      <c r="P47" s="276"/>
      <c r="Q47" s="33" t="s">
        <v>26</v>
      </c>
      <c r="R47" s="42">
        <f t="shared" si="9"/>
        <v>0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15.75" customHeight="1" x14ac:dyDescent="0.3">
      <c r="A48" s="46" t="s">
        <v>30</v>
      </c>
      <c r="B48" s="266">
        <f t="shared" si="4"/>
        <v>0</v>
      </c>
      <c r="C48" s="267"/>
      <c r="D48" s="270"/>
      <c r="E48" s="269">
        <f t="shared" si="5"/>
        <v>0</v>
      </c>
      <c r="F48" s="267"/>
      <c r="G48" s="270"/>
      <c r="H48" s="269">
        <f t="shared" si="6"/>
        <v>0</v>
      </c>
      <c r="I48" s="267"/>
      <c r="J48" s="270"/>
      <c r="K48" s="269">
        <f t="shared" si="7"/>
        <v>0</v>
      </c>
      <c r="L48" s="267"/>
      <c r="M48" s="270"/>
      <c r="N48" s="269">
        <f t="shared" si="8"/>
        <v>0</v>
      </c>
      <c r="O48" s="267"/>
      <c r="P48" s="270"/>
      <c r="Q48" s="36" t="s">
        <v>23</v>
      </c>
      <c r="R48" s="44">
        <f t="shared" si="9"/>
        <v>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7.5" customHeight="1" x14ac:dyDescent="0.3">
      <c r="A49" s="47"/>
      <c r="B49" s="271" t="str">
        <f>IF(ISBLANK(B10),"",B10)</f>
        <v/>
      </c>
      <c r="C49" s="272"/>
      <c r="D49" s="273"/>
      <c r="E49" s="271" t="str">
        <f>IF(ISBLANK(E10),"",E10)</f>
        <v/>
      </c>
      <c r="F49" s="272"/>
      <c r="G49" s="273"/>
      <c r="H49" s="271" t="str">
        <f>IF(ISBLANK(H10),"",H10)</f>
        <v/>
      </c>
      <c r="I49" s="272"/>
      <c r="J49" s="273"/>
      <c r="K49" s="271" t="str">
        <f>IF(ISBLANK(K10),"",K10)</f>
        <v/>
      </c>
      <c r="L49" s="272"/>
      <c r="M49" s="273"/>
      <c r="N49" s="271" t="str">
        <f>IF(ISBLANK(N10),"",N10)</f>
        <v/>
      </c>
      <c r="O49" s="272"/>
      <c r="P49" s="273"/>
      <c r="Q49" s="264"/>
      <c r="R49" s="265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15.75" customHeight="1" x14ac:dyDescent="0.3">
      <c r="A50" s="177" t="s">
        <v>31</v>
      </c>
      <c r="B50" s="290">
        <f>SUM(B46:D48)</f>
        <v>0</v>
      </c>
      <c r="C50" s="272"/>
      <c r="D50" s="273"/>
      <c r="E50" s="291">
        <f>SUM(E46:G48)</f>
        <v>0</v>
      </c>
      <c r="F50" s="284"/>
      <c r="G50" s="285"/>
      <c r="H50" s="291">
        <f>SUM(H46:J48)</f>
        <v>0</v>
      </c>
      <c r="I50" s="284"/>
      <c r="J50" s="285"/>
      <c r="K50" s="291">
        <f>SUM(K46:M48)</f>
        <v>0</v>
      </c>
      <c r="L50" s="284"/>
      <c r="M50" s="285"/>
      <c r="N50" s="291">
        <f>SUM(N46:P48)</f>
        <v>0</v>
      </c>
      <c r="O50" s="284"/>
      <c r="P50" s="285"/>
      <c r="Q50" s="286">
        <f t="shared" ref="Q50:Q51" si="10">SUM(B50:P50)</f>
        <v>0</v>
      </c>
      <c r="R50" s="285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15.75" customHeight="1" x14ac:dyDescent="0.3">
      <c r="A51" s="48" t="s">
        <v>32</v>
      </c>
      <c r="B51" s="283">
        <f>(B46+B48)/((NETWORKDAYS($P$1,EOMONTH($P$1,0), HO))*8)</f>
        <v>0</v>
      </c>
      <c r="C51" s="284"/>
      <c r="D51" s="285"/>
      <c r="E51" s="283">
        <f>(E46+E48)/((NETWORKDAYS($P$1,EOMONTH($P$1,0), HO))*8)</f>
        <v>0</v>
      </c>
      <c r="F51" s="284"/>
      <c r="G51" s="285"/>
      <c r="H51" s="283">
        <f>(H46+H48)/((NETWORKDAYS($P$1,EOMONTH($P$1,0), HO))*8)</f>
        <v>0</v>
      </c>
      <c r="I51" s="284"/>
      <c r="J51" s="285"/>
      <c r="K51" s="283">
        <f>(K46+K48)/((NETWORKDAYS($P$1,EOMONTH($P$1,0), HO))*8)</f>
        <v>0</v>
      </c>
      <c r="L51" s="284"/>
      <c r="M51" s="285"/>
      <c r="N51" s="283">
        <f>(N46+N48)/((NETWORKDAYS($P$1,EOMONTH($P$1,0), HO))*8)</f>
        <v>0</v>
      </c>
      <c r="O51" s="284"/>
      <c r="P51" s="285"/>
      <c r="Q51" s="283">
        <f t="shared" si="10"/>
        <v>0</v>
      </c>
      <c r="R51" s="285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15.75" customHeight="1" x14ac:dyDescent="0.3">
      <c r="A52" s="48" t="s">
        <v>33</v>
      </c>
      <c r="B52" s="286">
        <f>R46+R48</f>
        <v>0</v>
      </c>
      <c r="C52" s="284"/>
      <c r="D52" s="285"/>
      <c r="E52" s="283" t="s">
        <v>21</v>
      </c>
      <c r="F52" s="284"/>
      <c r="G52" s="285"/>
      <c r="H52" s="286">
        <f>R47</f>
        <v>0</v>
      </c>
      <c r="I52" s="284"/>
      <c r="J52" s="285"/>
      <c r="K52" s="286">
        <f>U47</f>
        <v>0</v>
      </c>
      <c r="L52" s="284"/>
      <c r="M52" s="285"/>
      <c r="N52" s="283" t="s">
        <v>34</v>
      </c>
      <c r="O52" s="284"/>
      <c r="P52" s="285"/>
      <c r="Q52" s="286">
        <f>B52+H52</f>
        <v>0</v>
      </c>
      <c r="R52" s="285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24.75" customHeight="1" x14ac:dyDescent="0.25">
      <c r="A53" s="287" t="s">
        <v>35</v>
      </c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15.75" customHeight="1" x14ac:dyDescent="0.25">
      <c r="A54" s="49" t="s">
        <v>65</v>
      </c>
      <c r="B54" s="289"/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50" t="s">
        <v>37</v>
      </c>
      <c r="P54" s="289"/>
      <c r="Q54" s="272"/>
      <c r="R54" s="272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15.75" customHeight="1" x14ac:dyDescent="0.25">
      <c r="A55" s="51"/>
      <c r="B55" s="38"/>
      <c r="C55" s="38"/>
      <c r="D55" s="52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15.75" customHeight="1" x14ac:dyDescent="0.25">
      <c r="A56" s="278" t="s">
        <v>66</v>
      </c>
      <c r="B56" s="279"/>
      <c r="C56" s="280"/>
      <c r="D56" s="279"/>
      <c r="E56" s="73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5.75" customHeight="1" x14ac:dyDescent="0.25">
      <c r="A57" s="281" t="s">
        <v>39</v>
      </c>
      <c r="B57" s="275"/>
      <c r="C57" s="282"/>
      <c r="D57" s="275"/>
      <c r="E57" s="74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15.75" customHeight="1" x14ac:dyDescent="0.25">
      <c r="A58" s="51"/>
      <c r="B58" s="38"/>
      <c r="C58" s="38"/>
      <c r="D58" s="52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15.75" customHeight="1" x14ac:dyDescent="0.25">
      <c r="A59" s="51"/>
      <c r="B59" s="38"/>
      <c r="C59" s="38"/>
      <c r="D59" s="5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15.75" customHeight="1" x14ac:dyDescent="0.25">
      <c r="A60" s="51"/>
      <c r="B60" s="38"/>
      <c r="C60" s="38"/>
      <c r="D60" s="5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15.75" customHeight="1" x14ac:dyDescent="0.25">
      <c r="A61" s="51"/>
      <c r="B61" s="38"/>
      <c r="C61" s="38"/>
      <c r="D61" s="52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15.75" customHeight="1" x14ac:dyDescent="0.25">
      <c r="A62" s="51"/>
      <c r="B62" s="38"/>
      <c r="C62" s="38"/>
      <c r="D62" s="52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15.75" customHeight="1" x14ac:dyDescent="0.25">
      <c r="A63" s="51"/>
      <c r="B63" s="38"/>
      <c r="C63" s="38"/>
      <c r="D63" s="52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15.75" customHeight="1" x14ac:dyDescent="0.25">
      <c r="A64" s="51"/>
      <c r="B64" s="38"/>
      <c r="C64" s="38"/>
      <c r="D64" s="52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15.75" customHeight="1" x14ac:dyDescent="0.25">
      <c r="A65" s="51"/>
      <c r="B65" s="38"/>
      <c r="C65" s="38"/>
      <c r="D65" s="52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15.75" customHeight="1" x14ac:dyDescent="0.25">
      <c r="A66" s="51"/>
      <c r="B66" s="38"/>
      <c r="C66" s="38"/>
      <c r="D66" s="52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15.75" customHeight="1" x14ac:dyDescent="0.25">
      <c r="A67" s="51"/>
      <c r="B67" s="38"/>
      <c r="C67" s="38"/>
      <c r="D67" s="52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15.75" customHeight="1" x14ac:dyDescent="0.25">
      <c r="A68" s="51"/>
      <c r="B68" s="38"/>
      <c r="C68" s="38"/>
      <c r="D68" s="52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15.75" customHeight="1" x14ac:dyDescent="0.25">
      <c r="A69" s="51"/>
      <c r="B69" s="38"/>
      <c r="C69" s="38"/>
      <c r="D69" s="52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15.75" customHeight="1" x14ac:dyDescent="0.25">
      <c r="A70" s="51"/>
      <c r="B70" s="38"/>
      <c r="C70" s="38"/>
      <c r="D70" s="52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15.75" customHeight="1" x14ac:dyDescent="0.25">
      <c r="A71" s="51"/>
      <c r="B71" s="38"/>
      <c r="C71" s="38"/>
      <c r="D71" s="52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15.75" customHeight="1" x14ac:dyDescent="0.25">
      <c r="A72" s="51"/>
      <c r="B72" s="38"/>
      <c r="C72" s="38"/>
      <c r="D72" s="52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15.75" customHeight="1" x14ac:dyDescent="0.25">
      <c r="A73" s="51"/>
      <c r="B73" s="38"/>
      <c r="C73" s="38"/>
      <c r="D73" s="52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15.75" customHeight="1" x14ac:dyDescent="0.25">
      <c r="A74" s="51"/>
      <c r="B74" s="38"/>
      <c r="C74" s="38"/>
      <c r="D74" s="52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15.75" customHeight="1" x14ac:dyDescent="0.25">
      <c r="A75" s="51"/>
      <c r="B75" s="38"/>
      <c r="C75" s="38"/>
      <c r="D75" s="52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15.75" customHeight="1" x14ac:dyDescent="0.25">
      <c r="A76" s="51"/>
      <c r="B76" s="38"/>
      <c r="C76" s="38"/>
      <c r="D76" s="52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15.75" customHeight="1" x14ac:dyDescent="0.25">
      <c r="A77" s="51"/>
      <c r="B77" s="38"/>
      <c r="C77" s="38"/>
      <c r="D77" s="52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15.75" customHeight="1" x14ac:dyDescent="0.25">
      <c r="A78" s="51"/>
      <c r="B78" s="38"/>
      <c r="C78" s="38"/>
      <c r="D78" s="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15.75" customHeight="1" x14ac:dyDescent="0.25">
      <c r="A79" s="51"/>
      <c r="B79" s="38"/>
      <c r="C79" s="38"/>
      <c r="D79" s="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15.75" customHeight="1" x14ac:dyDescent="0.25">
      <c r="A80" s="51"/>
      <c r="B80" s="38"/>
      <c r="C80" s="38"/>
      <c r="D80" s="52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15.75" customHeight="1" x14ac:dyDescent="0.25">
      <c r="A81" s="51"/>
      <c r="B81" s="38"/>
      <c r="C81" s="38"/>
      <c r="D81" s="52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15.75" customHeight="1" x14ac:dyDescent="0.25">
      <c r="A82" s="51"/>
      <c r="B82" s="38"/>
      <c r="C82" s="38"/>
      <c r="D82" s="52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15.75" customHeight="1" x14ac:dyDescent="0.25">
      <c r="A83" s="51"/>
      <c r="B83" s="38"/>
      <c r="C83" s="38"/>
      <c r="D83" s="52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15.75" customHeight="1" x14ac:dyDescent="0.25">
      <c r="A84" s="51"/>
      <c r="B84" s="38"/>
      <c r="C84" s="38"/>
      <c r="D84" s="52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15.75" customHeight="1" x14ac:dyDescent="0.25">
      <c r="A85" s="51"/>
      <c r="B85" s="38"/>
      <c r="C85" s="38"/>
      <c r="D85" s="52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15.75" customHeight="1" x14ac:dyDescent="0.25">
      <c r="A86" s="51"/>
      <c r="B86" s="38"/>
      <c r="C86" s="38"/>
      <c r="D86" s="52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5.75" customHeight="1" x14ac:dyDescent="0.25">
      <c r="A87" s="51"/>
      <c r="B87" s="38"/>
      <c r="C87" s="38"/>
      <c r="D87" s="52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5.75" customHeight="1" x14ac:dyDescent="0.25">
      <c r="A88" s="51"/>
      <c r="B88" s="38"/>
      <c r="C88" s="38"/>
      <c r="D88" s="52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5.75" customHeight="1" x14ac:dyDescent="0.25">
      <c r="A89" s="51"/>
      <c r="B89" s="38"/>
      <c r="C89" s="38"/>
      <c r="D89" s="52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5.75" customHeight="1" x14ac:dyDescent="0.25">
      <c r="A90" s="51"/>
      <c r="B90" s="38"/>
      <c r="C90" s="38"/>
      <c r="D90" s="52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5.75" customHeight="1" x14ac:dyDescent="0.25">
      <c r="A91" s="51"/>
      <c r="B91" s="38"/>
      <c r="C91" s="38"/>
      <c r="D91" s="5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5.75" customHeight="1" x14ac:dyDescent="0.25">
      <c r="A92" s="51"/>
      <c r="B92" s="38"/>
      <c r="C92" s="38"/>
      <c r="D92" s="5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5.75" customHeight="1" x14ac:dyDescent="0.25">
      <c r="A93" s="51"/>
      <c r="B93" s="38"/>
      <c r="C93" s="38"/>
      <c r="D93" s="5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5.75" customHeight="1" x14ac:dyDescent="0.25">
      <c r="A94" s="51"/>
      <c r="B94" s="38"/>
      <c r="C94" s="38"/>
      <c r="D94" s="5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5.75" customHeight="1" x14ac:dyDescent="0.25">
      <c r="A95" s="51"/>
      <c r="B95" s="38"/>
      <c r="C95" s="38"/>
      <c r="D95" s="52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5.75" customHeight="1" x14ac:dyDescent="0.25">
      <c r="A96" s="51"/>
      <c r="B96" s="38"/>
      <c r="C96" s="38"/>
      <c r="D96" s="52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5.75" customHeight="1" x14ac:dyDescent="0.25">
      <c r="A97" s="51"/>
      <c r="B97" s="38"/>
      <c r="C97" s="38"/>
      <c r="D97" s="52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5.75" customHeight="1" x14ac:dyDescent="0.25">
      <c r="A98" s="51"/>
      <c r="B98" s="38"/>
      <c r="C98" s="38"/>
      <c r="D98" s="52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5.75" customHeight="1" x14ac:dyDescent="0.25">
      <c r="A99" s="51"/>
      <c r="B99" s="38"/>
      <c r="C99" s="38"/>
      <c r="D99" s="52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5.75" customHeight="1" x14ac:dyDescent="0.25">
      <c r="A100" s="51"/>
      <c r="B100" s="38"/>
      <c r="C100" s="38"/>
      <c r="D100" s="52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5.75" customHeight="1" x14ac:dyDescent="0.25">
      <c r="A101" s="51"/>
      <c r="B101" s="38"/>
      <c r="C101" s="38"/>
      <c r="D101" s="52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5.75" customHeight="1" x14ac:dyDescent="0.25">
      <c r="A102" s="51"/>
      <c r="B102" s="38"/>
      <c r="C102" s="38"/>
      <c r="D102" s="52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5.75" customHeight="1" x14ac:dyDescent="0.25">
      <c r="A103" s="51"/>
      <c r="B103" s="38"/>
      <c r="C103" s="38"/>
      <c r="D103" s="52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5.75" customHeight="1" x14ac:dyDescent="0.25">
      <c r="A104" s="51"/>
      <c r="B104" s="38"/>
      <c r="C104" s="38"/>
      <c r="D104" s="52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5.75" customHeight="1" x14ac:dyDescent="0.25">
      <c r="A105" s="51"/>
      <c r="B105" s="38"/>
      <c r="C105" s="38"/>
      <c r="D105" s="52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5.75" customHeight="1" x14ac:dyDescent="0.25">
      <c r="A106" s="51"/>
      <c r="B106" s="38"/>
      <c r="C106" s="38"/>
      <c r="D106" s="52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5.75" customHeight="1" x14ac:dyDescent="0.25">
      <c r="A107" s="51"/>
      <c r="B107" s="38"/>
      <c r="C107" s="38"/>
      <c r="D107" s="52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5.75" customHeight="1" x14ac:dyDescent="0.25">
      <c r="A108" s="51"/>
      <c r="B108" s="38"/>
      <c r="C108" s="38"/>
      <c r="D108" s="52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5.75" customHeight="1" x14ac:dyDescent="0.25">
      <c r="A109" s="51"/>
      <c r="B109" s="38"/>
      <c r="C109" s="38"/>
      <c r="D109" s="52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5.75" customHeight="1" x14ac:dyDescent="0.25">
      <c r="A110" s="51"/>
      <c r="B110" s="38"/>
      <c r="C110" s="38"/>
      <c r="D110" s="52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5.75" customHeight="1" x14ac:dyDescent="0.25">
      <c r="A111" s="51"/>
      <c r="B111" s="38"/>
      <c r="C111" s="38"/>
      <c r="D111" s="52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5.75" customHeight="1" x14ac:dyDescent="0.25">
      <c r="A112" s="51"/>
      <c r="B112" s="38"/>
      <c r="C112" s="38"/>
      <c r="D112" s="52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5.75" customHeight="1" x14ac:dyDescent="0.25">
      <c r="A113" s="51"/>
      <c r="B113" s="38"/>
      <c r="C113" s="38"/>
      <c r="D113" s="52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5.75" customHeight="1" x14ac:dyDescent="0.25">
      <c r="A114" s="51"/>
      <c r="B114" s="38"/>
      <c r="C114" s="38"/>
      <c r="D114" s="52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5.75" customHeight="1" x14ac:dyDescent="0.25">
      <c r="A115" s="51"/>
      <c r="B115" s="38"/>
      <c r="C115" s="38"/>
      <c r="D115" s="52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5.75" customHeight="1" x14ac:dyDescent="0.25">
      <c r="A116" s="51"/>
      <c r="B116" s="38"/>
      <c r="C116" s="38"/>
      <c r="D116" s="52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5.75" customHeight="1" x14ac:dyDescent="0.25">
      <c r="A117" s="51"/>
      <c r="B117" s="38"/>
      <c r="C117" s="38"/>
      <c r="D117" s="52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5.75" customHeight="1" x14ac:dyDescent="0.25">
      <c r="A118" s="51"/>
      <c r="B118" s="38"/>
      <c r="C118" s="38"/>
      <c r="D118" s="52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5.75" customHeight="1" x14ac:dyDescent="0.25">
      <c r="A119" s="51"/>
      <c r="B119" s="38"/>
      <c r="C119" s="38"/>
      <c r="D119" s="52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5.75" customHeight="1" x14ac:dyDescent="0.25">
      <c r="A120" s="51"/>
      <c r="B120" s="38"/>
      <c r="C120" s="38"/>
      <c r="D120" s="52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5.75" customHeight="1" x14ac:dyDescent="0.25">
      <c r="A121" s="51"/>
      <c r="B121" s="38"/>
      <c r="C121" s="38"/>
      <c r="D121" s="52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5.75" customHeight="1" x14ac:dyDescent="0.25">
      <c r="A122" s="51"/>
      <c r="B122" s="38"/>
      <c r="C122" s="38"/>
      <c r="D122" s="52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5.75" customHeight="1" x14ac:dyDescent="0.25">
      <c r="A123" s="51"/>
      <c r="B123" s="38"/>
      <c r="C123" s="38"/>
      <c r="D123" s="52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5.75" customHeight="1" x14ac:dyDescent="0.25">
      <c r="A124" s="51"/>
      <c r="B124" s="38"/>
      <c r="C124" s="38"/>
      <c r="D124" s="52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5.75" customHeight="1" x14ac:dyDescent="0.25">
      <c r="A125" s="51"/>
      <c r="B125" s="38"/>
      <c r="C125" s="38"/>
      <c r="D125" s="52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5.75" customHeight="1" x14ac:dyDescent="0.25">
      <c r="A126" s="51"/>
      <c r="B126" s="38"/>
      <c r="C126" s="38"/>
      <c r="D126" s="52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5.75" customHeight="1" x14ac:dyDescent="0.25">
      <c r="A127" s="51"/>
      <c r="B127" s="38"/>
      <c r="C127" s="38"/>
      <c r="D127" s="52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5.75" customHeight="1" x14ac:dyDescent="0.25">
      <c r="A128" s="51"/>
      <c r="B128" s="38"/>
      <c r="C128" s="38"/>
      <c r="D128" s="52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5.75" customHeight="1" x14ac:dyDescent="0.25">
      <c r="A129" s="51"/>
      <c r="B129" s="38"/>
      <c r="C129" s="38"/>
      <c r="D129" s="52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5.75" customHeight="1" x14ac:dyDescent="0.25">
      <c r="A130" s="51"/>
      <c r="B130" s="38"/>
      <c r="C130" s="38"/>
      <c r="D130" s="52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5.75" customHeight="1" x14ac:dyDescent="0.25">
      <c r="A131" s="51"/>
      <c r="B131" s="38"/>
      <c r="C131" s="38"/>
      <c r="D131" s="52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5.75" customHeight="1" x14ac:dyDescent="0.25">
      <c r="A132" s="51"/>
      <c r="B132" s="38"/>
      <c r="C132" s="38"/>
      <c r="D132" s="52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5.75" customHeight="1" x14ac:dyDescent="0.25">
      <c r="A133" s="51"/>
      <c r="B133" s="38"/>
      <c r="C133" s="38"/>
      <c r="D133" s="52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5.75" customHeight="1" x14ac:dyDescent="0.25">
      <c r="A134" s="51"/>
      <c r="B134" s="38"/>
      <c r="C134" s="38"/>
      <c r="D134" s="52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5.75" customHeight="1" x14ac:dyDescent="0.25">
      <c r="A135" s="51"/>
      <c r="B135" s="38"/>
      <c r="C135" s="38"/>
      <c r="D135" s="52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5.75" customHeight="1" x14ac:dyDescent="0.25">
      <c r="A136" s="51"/>
      <c r="B136" s="38"/>
      <c r="C136" s="38"/>
      <c r="D136" s="52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5.75" customHeight="1" x14ac:dyDescent="0.25">
      <c r="A137" s="51"/>
      <c r="B137" s="38"/>
      <c r="C137" s="38"/>
      <c r="D137" s="52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5.75" customHeight="1" x14ac:dyDescent="0.25">
      <c r="A138" s="51"/>
      <c r="B138" s="38"/>
      <c r="C138" s="38"/>
      <c r="D138" s="52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5.75" customHeight="1" x14ac:dyDescent="0.25">
      <c r="A139" s="51"/>
      <c r="B139" s="38"/>
      <c r="C139" s="38"/>
      <c r="D139" s="52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5.75" customHeight="1" x14ac:dyDescent="0.25">
      <c r="A140" s="51"/>
      <c r="B140" s="38"/>
      <c r="C140" s="38"/>
      <c r="D140" s="52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5.75" customHeight="1" x14ac:dyDescent="0.25">
      <c r="A141" s="51"/>
      <c r="B141" s="38"/>
      <c r="C141" s="38"/>
      <c r="D141" s="52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5.75" customHeight="1" x14ac:dyDescent="0.25">
      <c r="A142" s="51"/>
      <c r="B142" s="38"/>
      <c r="C142" s="38"/>
      <c r="D142" s="52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5.75" customHeight="1" x14ac:dyDescent="0.25">
      <c r="A143" s="51"/>
      <c r="B143" s="38"/>
      <c r="C143" s="38"/>
      <c r="D143" s="52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ht="15.75" customHeight="1" x14ac:dyDescent="0.25">
      <c r="A144" s="51"/>
      <c r="B144" s="38"/>
      <c r="C144" s="38"/>
      <c r="D144" s="52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ht="15.75" customHeight="1" x14ac:dyDescent="0.25">
      <c r="A145" s="51"/>
      <c r="B145" s="38"/>
      <c r="C145" s="38"/>
      <c r="D145" s="52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ht="15.75" customHeight="1" x14ac:dyDescent="0.25">
      <c r="A146" s="51"/>
      <c r="B146" s="38"/>
      <c r="C146" s="38"/>
      <c r="D146" s="52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ht="15.75" customHeight="1" x14ac:dyDescent="0.25">
      <c r="A147" s="51"/>
      <c r="B147" s="38"/>
      <c r="C147" s="38"/>
      <c r="D147" s="52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ht="15.75" customHeight="1" x14ac:dyDescent="0.25">
      <c r="A148" s="51"/>
      <c r="B148" s="38"/>
      <c r="C148" s="38"/>
      <c r="D148" s="52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ht="15.75" customHeight="1" x14ac:dyDescent="0.25">
      <c r="A149" s="51"/>
      <c r="B149" s="38"/>
      <c r="C149" s="38"/>
      <c r="D149" s="52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5.75" customHeight="1" x14ac:dyDescent="0.25">
      <c r="A150" s="51"/>
      <c r="B150" s="38"/>
      <c r="C150" s="38"/>
      <c r="D150" s="52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ht="15.75" customHeight="1" x14ac:dyDescent="0.25">
      <c r="A151" s="51"/>
      <c r="B151" s="38"/>
      <c r="C151" s="38"/>
      <c r="D151" s="52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ht="15.75" customHeight="1" x14ac:dyDescent="0.25">
      <c r="A152" s="51"/>
      <c r="B152" s="38"/>
      <c r="C152" s="38"/>
      <c r="D152" s="52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ht="15.75" customHeight="1" x14ac:dyDescent="0.25">
      <c r="A153" s="51"/>
      <c r="B153" s="38"/>
      <c r="C153" s="38"/>
      <c r="D153" s="52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ht="15.75" customHeight="1" x14ac:dyDescent="0.25">
      <c r="A154" s="51"/>
      <c r="B154" s="38"/>
      <c r="C154" s="38"/>
      <c r="D154" s="52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ht="15.75" customHeight="1" x14ac:dyDescent="0.25">
      <c r="A155" s="51"/>
      <c r="B155" s="38"/>
      <c r="C155" s="38"/>
      <c r="D155" s="52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ht="15.75" customHeight="1" x14ac:dyDescent="0.25">
      <c r="A156" s="51"/>
      <c r="B156" s="38"/>
      <c r="C156" s="38"/>
      <c r="D156" s="52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ht="15.75" customHeight="1" x14ac:dyDescent="0.25">
      <c r="A157" s="51"/>
      <c r="B157" s="38"/>
      <c r="C157" s="38"/>
      <c r="D157" s="52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ht="15.75" customHeight="1" x14ac:dyDescent="0.25">
      <c r="A158" s="51"/>
      <c r="B158" s="38"/>
      <c r="C158" s="38"/>
      <c r="D158" s="52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ht="15.75" customHeight="1" x14ac:dyDescent="0.25">
      <c r="A159" s="51"/>
      <c r="B159" s="38"/>
      <c r="C159" s="38"/>
      <c r="D159" s="52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ht="15.75" customHeight="1" x14ac:dyDescent="0.25">
      <c r="A160" s="51"/>
      <c r="B160" s="38"/>
      <c r="C160" s="38"/>
      <c r="D160" s="52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ht="15.75" customHeight="1" x14ac:dyDescent="0.25">
      <c r="A161" s="51"/>
      <c r="B161" s="38"/>
      <c r="C161" s="38"/>
      <c r="D161" s="52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ht="15.75" customHeight="1" x14ac:dyDescent="0.25">
      <c r="A162" s="51"/>
      <c r="B162" s="38"/>
      <c r="C162" s="38"/>
      <c r="D162" s="52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ht="15.75" customHeight="1" x14ac:dyDescent="0.25">
      <c r="A163" s="51"/>
      <c r="B163" s="38"/>
      <c r="C163" s="38"/>
      <c r="D163" s="52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ht="15.75" customHeight="1" x14ac:dyDescent="0.25">
      <c r="A164" s="51"/>
      <c r="B164" s="38"/>
      <c r="C164" s="38"/>
      <c r="D164" s="52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ht="15.75" customHeight="1" x14ac:dyDescent="0.25">
      <c r="A165" s="51"/>
      <c r="B165" s="38"/>
      <c r="C165" s="38"/>
      <c r="D165" s="52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5.75" customHeight="1" x14ac:dyDescent="0.25">
      <c r="A166" s="51"/>
      <c r="B166" s="38"/>
      <c r="C166" s="38"/>
      <c r="D166" s="52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ht="15.75" customHeight="1" x14ac:dyDescent="0.25">
      <c r="A167" s="51"/>
      <c r="B167" s="38"/>
      <c r="C167" s="38"/>
      <c r="D167" s="52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ht="15.75" customHeight="1" x14ac:dyDescent="0.25">
      <c r="A168" s="51"/>
      <c r="B168" s="38"/>
      <c r="C168" s="38"/>
      <c r="D168" s="52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ht="15.75" customHeight="1" x14ac:dyDescent="0.25">
      <c r="A169" s="51"/>
      <c r="B169" s="38"/>
      <c r="C169" s="38"/>
      <c r="D169" s="52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ht="15.75" customHeight="1" x14ac:dyDescent="0.25">
      <c r="A170" s="51"/>
      <c r="B170" s="38"/>
      <c r="C170" s="38"/>
      <c r="D170" s="52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ht="15.75" customHeight="1" x14ac:dyDescent="0.25">
      <c r="A171" s="51"/>
      <c r="B171" s="38"/>
      <c r="C171" s="38"/>
      <c r="D171" s="52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ht="15.75" customHeight="1" x14ac:dyDescent="0.25">
      <c r="A172" s="51"/>
      <c r="B172" s="38"/>
      <c r="C172" s="38"/>
      <c r="D172" s="52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ht="15.75" customHeight="1" x14ac:dyDescent="0.25">
      <c r="A173" s="51"/>
      <c r="B173" s="38"/>
      <c r="C173" s="38"/>
      <c r="D173" s="52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ht="15.75" customHeight="1" x14ac:dyDescent="0.25">
      <c r="A174" s="51"/>
      <c r="B174" s="38"/>
      <c r="C174" s="38"/>
      <c r="D174" s="52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ht="15.75" customHeight="1" x14ac:dyDescent="0.25">
      <c r="A175" s="51"/>
      <c r="B175" s="38"/>
      <c r="C175" s="38"/>
      <c r="D175" s="52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ht="15.75" customHeight="1" x14ac:dyDescent="0.25">
      <c r="A176" s="51"/>
      <c r="B176" s="38"/>
      <c r="C176" s="38"/>
      <c r="D176" s="52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ht="15.75" customHeight="1" x14ac:dyDescent="0.25">
      <c r="A177" s="51"/>
      <c r="B177" s="38"/>
      <c r="C177" s="38"/>
      <c r="D177" s="52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ht="15.75" customHeight="1" x14ac:dyDescent="0.25">
      <c r="A178" s="51"/>
      <c r="B178" s="38"/>
      <c r="C178" s="38"/>
      <c r="D178" s="52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ht="15.75" customHeight="1" x14ac:dyDescent="0.25">
      <c r="A179" s="51"/>
      <c r="B179" s="38"/>
      <c r="C179" s="38"/>
      <c r="D179" s="52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ht="15.75" customHeight="1" x14ac:dyDescent="0.25">
      <c r="A180" s="51"/>
      <c r="B180" s="38"/>
      <c r="C180" s="38"/>
      <c r="D180" s="52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ht="15.75" customHeight="1" x14ac:dyDescent="0.25">
      <c r="A181" s="51"/>
      <c r="B181" s="38"/>
      <c r="C181" s="38"/>
      <c r="D181" s="52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ht="15.75" customHeight="1" x14ac:dyDescent="0.25">
      <c r="A182" s="51"/>
      <c r="B182" s="38"/>
      <c r="C182" s="38"/>
      <c r="D182" s="52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ht="15.75" customHeight="1" x14ac:dyDescent="0.25">
      <c r="A183" s="51"/>
      <c r="B183" s="38"/>
      <c r="C183" s="38"/>
      <c r="D183" s="52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ht="15.75" customHeight="1" x14ac:dyDescent="0.25">
      <c r="A184" s="51"/>
      <c r="B184" s="38"/>
      <c r="C184" s="38"/>
      <c r="D184" s="52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ht="15.75" customHeight="1" x14ac:dyDescent="0.25">
      <c r="A185" s="51"/>
      <c r="B185" s="38"/>
      <c r="C185" s="38"/>
      <c r="D185" s="52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ht="15.75" customHeight="1" x14ac:dyDescent="0.25">
      <c r="A186" s="51"/>
      <c r="B186" s="38"/>
      <c r="C186" s="38"/>
      <c r="D186" s="52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ht="15.75" customHeight="1" x14ac:dyDescent="0.25">
      <c r="A187" s="51"/>
      <c r="B187" s="38"/>
      <c r="C187" s="38"/>
      <c r="D187" s="52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ht="15.75" customHeight="1" x14ac:dyDescent="0.25">
      <c r="A188" s="51"/>
      <c r="B188" s="38"/>
      <c r="C188" s="38"/>
      <c r="D188" s="52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ht="15.75" customHeight="1" x14ac:dyDescent="0.25">
      <c r="A189" s="51"/>
      <c r="B189" s="38"/>
      <c r="C189" s="38"/>
      <c r="D189" s="52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ht="15.75" customHeight="1" x14ac:dyDescent="0.25">
      <c r="A190" s="51"/>
      <c r="B190" s="38"/>
      <c r="C190" s="38"/>
      <c r="D190" s="52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ht="15.75" customHeight="1" x14ac:dyDescent="0.25">
      <c r="A191" s="51"/>
      <c r="B191" s="38"/>
      <c r="C191" s="38"/>
      <c r="D191" s="52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ht="15.75" customHeight="1" x14ac:dyDescent="0.25">
      <c r="A192" s="51"/>
      <c r="B192" s="38"/>
      <c r="C192" s="38"/>
      <c r="D192" s="52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ht="15.75" customHeight="1" x14ac:dyDescent="0.25">
      <c r="A193" s="51"/>
      <c r="B193" s="38"/>
      <c r="C193" s="38"/>
      <c r="D193" s="52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5.75" customHeight="1" x14ac:dyDescent="0.25">
      <c r="A194" s="51"/>
      <c r="B194" s="38"/>
      <c r="C194" s="38"/>
      <c r="D194" s="52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5.75" customHeight="1" x14ac:dyDescent="0.25">
      <c r="A195" s="51"/>
      <c r="B195" s="38"/>
      <c r="C195" s="38"/>
      <c r="D195" s="52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ht="15.75" customHeight="1" x14ac:dyDescent="0.25">
      <c r="A196" s="51"/>
      <c r="B196" s="38"/>
      <c r="C196" s="38"/>
      <c r="D196" s="52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ht="15.75" customHeight="1" x14ac:dyDescent="0.25">
      <c r="A197" s="51"/>
      <c r="B197" s="38"/>
      <c r="C197" s="38"/>
      <c r="D197" s="52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ht="15.75" customHeight="1" x14ac:dyDescent="0.25">
      <c r="A198" s="51"/>
      <c r="B198" s="38"/>
      <c r="C198" s="38"/>
      <c r="D198" s="52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ht="15.75" customHeight="1" x14ac:dyDescent="0.25">
      <c r="A199" s="51"/>
      <c r="B199" s="38"/>
      <c r="C199" s="38"/>
      <c r="D199" s="52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ht="15.75" customHeight="1" x14ac:dyDescent="0.25">
      <c r="A200" s="51"/>
      <c r="B200" s="38"/>
      <c r="C200" s="38"/>
      <c r="D200" s="52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ht="15.75" customHeight="1" x14ac:dyDescent="0.25">
      <c r="A201" s="51"/>
      <c r="B201" s="38"/>
      <c r="C201" s="38"/>
      <c r="D201" s="52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ht="15.75" customHeight="1" x14ac:dyDescent="0.25">
      <c r="A202" s="51"/>
      <c r="B202" s="38"/>
      <c r="C202" s="38"/>
      <c r="D202" s="52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ht="15.75" customHeight="1" x14ac:dyDescent="0.25">
      <c r="A203" s="51"/>
      <c r="B203" s="38"/>
      <c r="C203" s="38"/>
      <c r="D203" s="52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ht="15.75" customHeight="1" x14ac:dyDescent="0.25">
      <c r="A204" s="51"/>
      <c r="B204" s="38"/>
      <c r="C204" s="38"/>
      <c r="D204" s="52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ht="15.75" customHeight="1" x14ac:dyDescent="0.25">
      <c r="A205" s="51"/>
      <c r="B205" s="38"/>
      <c r="C205" s="38"/>
      <c r="D205" s="52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5.75" customHeight="1" x14ac:dyDescent="0.25">
      <c r="A206" s="51"/>
      <c r="B206" s="38"/>
      <c r="C206" s="38"/>
      <c r="D206" s="52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ht="15.75" customHeight="1" x14ac:dyDescent="0.25">
      <c r="A207" s="51"/>
      <c r="B207" s="38"/>
      <c r="C207" s="38"/>
      <c r="D207" s="52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ht="15.75" customHeight="1" x14ac:dyDescent="0.25">
      <c r="A208" s="51"/>
      <c r="B208" s="38"/>
      <c r="C208" s="38"/>
      <c r="D208" s="52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ht="15.75" customHeight="1" x14ac:dyDescent="0.25">
      <c r="A209" s="51"/>
      <c r="B209" s="38"/>
      <c r="C209" s="38"/>
      <c r="D209" s="52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ht="15.75" customHeight="1" x14ac:dyDescent="0.25">
      <c r="A210" s="51"/>
      <c r="B210" s="38"/>
      <c r="C210" s="38"/>
      <c r="D210" s="52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.75" customHeight="1" x14ac:dyDescent="0.25">
      <c r="A211" s="51"/>
      <c r="B211" s="38"/>
      <c r="C211" s="38"/>
      <c r="D211" s="52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ht="15.75" customHeight="1" x14ac:dyDescent="0.25">
      <c r="A212" s="51"/>
      <c r="B212" s="38"/>
      <c r="C212" s="38"/>
      <c r="D212" s="52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ht="15.75" customHeight="1" x14ac:dyDescent="0.25">
      <c r="A213" s="51"/>
      <c r="B213" s="38"/>
      <c r="C213" s="38"/>
      <c r="D213" s="52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ht="15.75" customHeight="1" x14ac:dyDescent="0.25">
      <c r="A214" s="51"/>
      <c r="B214" s="38"/>
      <c r="C214" s="38"/>
      <c r="D214" s="52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ht="15.75" customHeight="1" x14ac:dyDescent="0.25">
      <c r="A215" s="51"/>
      <c r="B215" s="38"/>
      <c r="C215" s="38"/>
      <c r="D215" s="52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ht="15.75" customHeight="1" x14ac:dyDescent="0.25">
      <c r="A216" s="51"/>
      <c r="B216" s="38"/>
      <c r="C216" s="38"/>
      <c r="D216" s="52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ht="15.75" customHeight="1" x14ac:dyDescent="0.25">
      <c r="A217" s="51"/>
      <c r="B217" s="38"/>
      <c r="C217" s="38"/>
      <c r="D217" s="52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ht="15.75" customHeight="1" x14ac:dyDescent="0.25">
      <c r="A218" s="51"/>
      <c r="B218" s="38"/>
      <c r="C218" s="38"/>
      <c r="D218" s="52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ht="15.75" customHeight="1" x14ac:dyDescent="0.25">
      <c r="A219" s="51"/>
      <c r="B219" s="38"/>
      <c r="C219" s="38"/>
      <c r="D219" s="52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ht="15.75" customHeight="1" x14ac:dyDescent="0.25">
      <c r="A220" s="51"/>
      <c r="B220" s="38"/>
      <c r="C220" s="38"/>
      <c r="D220" s="52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ht="15.75" customHeight="1" x14ac:dyDescent="0.25">
      <c r="A221" s="51"/>
      <c r="B221" s="38"/>
      <c r="C221" s="38"/>
      <c r="D221" s="52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ht="15.75" customHeight="1" x14ac:dyDescent="0.25">
      <c r="A222" s="51"/>
      <c r="B222" s="38"/>
      <c r="C222" s="38"/>
      <c r="D222" s="52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ht="15.75" customHeight="1" x14ac:dyDescent="0.25">
      <c r="A223" s="51"/>
      <c r="B223" s="38"/>
      <c r="C223" s="38"/>
      <c r="D223" s="52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ht="15.75" customHeight="1" x14ac:dyDescent="0.25">
      <c r="A224" s="51"/>
      <c r="B224" s="38"/>
      <c r="C224" s="38"/>
      <c r="D224" s="52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ht="15.75" customHeight="1" x14ac:dyDescent="0.25">
      <c r="A225" s="51"/>
      <c r="B225" s="38"/>
      <c r="C225" s="38"/>
      <c r="D225" s="52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ht="15.75" customHeight="1" x14ac:dyDescent="0.25">
      <c r="A226" s="51"/>
      <c r="B226" s="38"/>
      <c r="C226" s="38"/>
      <c r="D226" s="52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ht="15.75" customHeight="1" x14ac:dyDescent="0.25">
      <c r="A227" s="51"/>
      <c r="B227" s="38"/>
      <c r="C227" s="38"/>
      <c r="D227" s="52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ht="15.75" customHeight="1" x14ac:dyDescent="0.25">
      <c r="A228" s="51"/>
      <c r="B228" s="38"/>
      <c r="C228" s="38"/>
      <c r="D228" s="52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ht="15.75" customHeight="1" x14ac:dyDescent="0.25">
      <c r="A229" s="51"/>
      <c r="B229" s="38"/>
      <c r="C229" s="38"/>
      <c r="D229" s="52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ht="15.75" customHeight="1" x14ac:dyDescent="0.25">
      <c r="A230" s="51"/>
      <c r="B230" s="38"/>
      <c r="C230" s="38"/>
      <c r="D230" s="52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ht="15.75" customHeight="1" x14ac:dyDescent="0.25">
      <c r="A231" s="51"/>
      <c r="B231" s="38"/>
      <c r="C231" s="38"/>
      <c r="D231" s="52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ht="15.75" customHeight="1" x14ac:dyDescent="0.25">
      <c r="A232" s="51"/>
      <c r="B232" s="38"/>
      <c r="C232" s="38"/>
      <c r="D232" s="52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ht="15.75" customHeight="1" x14ac:dyDescent="0.25">
      <c r="A233" s="51"/>
      <c r="B233" s="38"/>
      <c r="C233" s="38"/>
      <c r="D233" s="52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ht="15.75" customHeight="1" x14ac:dyDescent="0.25">
      <c r="A234" s="51"/>
      <c r="B234" s="38"/>
      <c r="C234" s="38"/>
      <c r="D234" s="52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ht="15.75" customHeight="1" x14ac:dyDescent="0.25">
      <c r="A235" s="51"/>
      <c r="B235" s="38"/>
      <c r="C235" s="38"/>
      <c r="D235" s="52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ht="15.75" customHeight="1" x14ac:dyDescent="0.25">
      <c r="A236" s="51"/>
      <c r="B236" s="38"/>
      <c r="C236" s="38"/>
      <c r="D236" s="52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ht="15.75" customHeight="1" x14ac:dyDescent="0.25">
      <c r="A237" s="51"/>
      <c r="B237" s="38"/>
      <c r="C237" s="38"/>
      <c r="D237" s="52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ht="15.75" customHeight="1" x14ac:dyDescent="0.25">
      <c r="A238" s="51"/>
      <c r="B238" s="38"/>
      <c r="C238" s="38"/>
      <c r="D238" s="52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ht="15.75" customHeight="1" x14ac:dyDescent="0.25">
      <c r="A239" s="51"/>
      <c r="B239" s="38"/>
      <c r="C239" s="38"/>
      <c r="D239" s="52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ht="15.75" customHeight="1" x14ac:dyDescent="0.25">
      <c r="A240" s="51"/>
      <c r="B240" s="38"/>
      <c r="C240" s="38"/>
      <c r="D240" s="52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ht="15.75" customHeight="1" x14ac:dyDescent="0.25">
      <c r="A241" s="51"/>
      <c r="B241" s="38"/>
      <c r="C241" s="38"/>
      <c r="D241" s="52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ht="15.75" customHeight="1" x14ac:dyDescent="0.25">
      <c r="A242" s="51"/>
      <c r="B242" s="38"/>
      <c r="C242" s="38"/>
      <c r="D242" s="5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ht="15.75" customHeight="1" x14ac:dyDescent="0.25">
      <c r="A243" s="51"/>
      <c r="B243" s="38"/>
      <c r="C243" s="38"/>
      <c r="D243" s="52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ht="15.75" customHeight="1" x14ac:dyDescent="0.25">
      <c r="A244" s="51"/>
      <c r="B244" s="38"/>
      <c r="C244" s="38"/>
      <c r="D244" s="52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ht="15.75" customHeight="1" x14ac:dyDescent="0.25">
      <c r="A245" s="51"/>
      <c r="B245" s="38"/>
      <c r="C245" s="38"/>
      <c r="D245" s="52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ht="15.75" customHeight="1" x14ac:dyDescent="0.25">
      <c r="A246" s="51"/>
      <c r="B246" s="38"/>
      <c r="C246" s="38"/>
      <c r="D246" s="52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ht="15.75" customHeight="1" x14ac:dyDescent="0.25">
      <c r="A247" s="51"/>
      <c r="B247" s="38"/>
      <c r="C247" s="38"/>
      <c r="D247" s="52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ht="15.75" customHeight="1" x14ac:dyDescent="0.25">
      <c r="A248" s="51"/>
      <c r="B248" s="38"/>
      <c r="C248" s="38"/>
      <c r="D248" s="52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ht="15.75" customHeight="1" x14ac:dyDescent="0.25">
      <c r="A249" s="51"/>
      <c r="B249" s="38"/>
      <c r="C249" s="38"/>
      <c r="D249" s="52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ht="15.75" customHeight="1" x14ac:dyDescent="0.25">
      <c r="A250" s="51"/>
      <c r="B250" s="38"/>
      <c r="C250" s="38"/>
      <c r="D250" s="52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ht="15.75" customHeight="1" x14ac:dyDescent="0.25">
      <c r="A251" s="51"/>
      <c r="B251" s="38"/>
      <c r="C251" s="38"/>
      <c r="D251" s="52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5.75" customHeight="1" x14ac:dyDescent="0.25">
      <c r="A252" s="51"/>
      <c r="B252" s="38"/>
      <c r="C252" s="38"/>
      <c r="D252" s="52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5.75" customHeight="1" x14ac:dyDescent="0.25">
      <c r="A253" s="51"/>
      <c r="B253" s="38"/>
      <c r="C253" s="38"/>
      <c r="D253" s="52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ht="15.75" customHeight="1" x14ac:dyDescent="0.25">
      <c r="A254" s="51"/>
      <c r="B254" s="38"/>
      <c r="C254" s="38"/>
      <c r="D254" s="52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ht="15.75" customHeight="1" x14ac:dyDescent="0.25">
      <c r="A255" s="51"/>
      <c r="B255" s="38"/>
      <c r="C255" s="38"/>
      <c r="D255" s="52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ht="15.75" customHeight="1" x14ac:dyDescent="0.25">
      <c r="A256" s="51"/>
      <c r="B256" s="38"/>
      <c r="C256" s="38"/>
      <c r="D256" s="52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spans="1:29" ht="15.75" customHeight="1" x14ac:dyDescent="0.25">
      <c r="A257" s="51"/>
      <c r="B257" s="38"/>
      <c r="C257" s="38"/>
      <c r="D257" s="52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spans="1:29" ht="15.75" customHeight="1" x14ac:dyDescent="0.25"/>
    <row r="259" spans="1:29" ht="15.75" customHeight="1" x14ac:dyDescent="0.25"/>
    <row r="260" spans="1:29" ht="15.75" customHeight="1" x14ac:dyDescent="0.25"/>
    <row r="261" spans="1:29" ht="15.75" customHeight="1" x14ac:dyDescent="0.25"/>
    <row r="262" spans="1:29" ht="15.75" customHeight="1" x14ac:dyDescent="0.25"/>
    <row r="263" spans="1:29" ht="15.75" customHeight="1" x14ac:dyDescent="0.25"/>
    <row r="264" spans="1:29" ht="15.75" customHeight="1" x14ac:dyDescent="0.25"/>
    <row r="265" spans="1:29" ht="15.75" customHeight="1" x14ac:dyDescent="0.25"/>
    <row r="266" spans="1:29" ht="15.75" customHeight="1" x14ac:dyDescent="0.25"/>
    <row r="267" spans="1:29" ht="15.75" customHeight="1" x14ac:dyDescent="0.25"/>
    <row r="268" spans="1:29" ht="15.75" customHeight="1" x14ac:dyDescent="0.25"/>
    <row r="269" spans="1:29" ht="15.75" customHeight="1" x14ac:dyDescent="0.25"/>
    <row r="270" spans="1:29" ht="15.75" customHeight="1" x14ac:dyDescent="0.25"/>
    <row r="271" spans="1:29" ht="15.75" customHeight="1" x14ac:dyDescent="0.25"/>
    <row r="272" spans="1:2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37">
    <mergeCell ref="N6:P6"/>
    <mergeCell ref="A1:B1"/>
    <mergeCell ref="C1:O1"/>
    <mergeCell ref="P1:R1"/>
    <mergeCell ref="A2:B2"/>
    <mergeCell ref="C3:R3"/>
    <mergeCell ref="A3:B3"/>
    <mergeCell ref="E4:G4"/>
    <mergeCell ref="H4:J4"/>
    <mergeCell ref="K4:M4"/>
    <mergeCell ref="N4:P4"/>
    <mergeCell ref="N5:P5"/>
    <mergeCell ref="Q4:R7"/>
    <mergeCell ref="C2:M2"/>
    <mergeCell ref="N2:R2"/>
    <mergeCell ref="B5:D5"/>
    <mergeCell ref="E5:G5"/>
    <mergeCell ref="H5:J5"/>
    <mergeCell ref="K5:M5"/>
    <mergeCell ref="B4:D4"/>
    <mergeCell ref="B6:D6"/>
    <mergeCell ref="E6:G6"/>
    <mergeCell ref="H6:J6"/>
    <mergeCell ref="K6:M6"/>
    <mergeCell ref="Q8:R8"/>
    <mergeCell ref="Q9:R9"/>
    <mergeCell ref="Q10:R10"/>
    <mergeCell ref="Q11:R11"/>
    <mergeCell ref="Q12:R12"/>
    <mergeCell ref="Q13:R13"/>
    <mergeCell ref="Q21:R21"/>
    <mergeCell ref="Q22:R22"/>
    <mergeCell ref="B23:D23"/>
    <mergeCell ref="E23:G23"/>
    <mergeCell ref="H23:J23"/>
    <mergeCell ref="K23:M23"/>
    <mergeCell ref="N23:P23"/>
    <mergeCell ref="Q14:R14"/>
    <mergeCell ref="Q15:R15"/>
    <mergeCell ref="Q16:R16"/>
    <mergeCell ref="Q17:R17"/>
    <mergeCell ref="Q18:R18"/>
    <mergeCell ref="Q19:R19"/>
    <mergeCell ref="Q20:R20"/>
    <mergeCell ref="H44:J44"/>
    <mergeCell ref="K44:M44"/>
    <mergeCell ref="B43:D43"/>
    <mergeCell ref="E43:G43"/>
    <mergeCell ref="H43:J43"/>
    <mergeCell ref="K43:M43"/>
    <mergeCell ref="N43:P43"/>
    <mergeCell ref="E44:G44"/>
    <mergeCell ref="N44:P44"/>
    <mergeCell ref="B44:D44"/>
    <mergeCell ref="H25:J25"/>
    <mergeCell ref="K25:M25"/>
    <mergeCell ref="B24:D24"/>
    <mergeCell ref="E24:G24"/>
    <mergeCell ref="H24:J24"/>
    <mergeCell ref="K24:M24"/>
    <mergeCell ref="N24:P24"/>
    <mergeCell ref="B25:D25"/>
    <mergeCell ref="E25:G25"/>
    <mergeCell ref="N25:P25"/>
    <mergeCell ref="B50:D50"/>
    <mergeCell ref="E50:G50"/>
    <mergeCell ref="H50:J50"/>
    <mergeCell ref="K50:M50"/>
    <mergeCell ref="N50:P50"/>
    <mergeCell ref="Q50:R50"/>
    <mergeCell ref="B51:D51"/>
    <mergeCell ref="Q51:R51"/>
    <mergeCell ref="B52:D52"/>
    <mergeCell ref="A56:B56"/>
    <mergeCell ref="C56:D56"/>
    <mergeCell ref="A57:B57"/>
    <mergeCell ref="C57:D57"/>
    <mergeCell ref="E51:G51"/>
    <mergeCell ref="H51:J51"/>
    <mergeCell ref="E52:G52"/>
    <mergeCell ref="H52:J52"/>
    <mergeCell ref="A53:R53"/>
    <mergeCell ref="B54:N54"/>
    <mergeCell ref="P54:R54"/>
    <mergeCell ref="K51:M51"/>
    <mergeCell ref="N51:P51"/>
    <mergeCell ref="K52:M52"/>
    <mergeCell ref="N52:P52"/>
    <mergeCell ref="Q52:R52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B42:D42"/>
    <mergeCell ref="E42:G42"/>
    <mergeCell ref="H42:J42"/>
    <mergeCell ref="K42:M42"/>
    <mergeCell ref="N42:P42"/>
    <mergeCell ref="Q45:R45"/>
    <mergeCell ref="E49:G49"/>
    <mergeCell ref="H49:J49"/>
    <mergeCell ref="Q49:R49"/>
    <mergeCell ref="K49:M49"/>
    <mergeCell ref="N49:P49"/>
    <mergeCell ref="N46:P46"/>
    <mergeCell ref="E47:G47"/>
    <mergeCell ref="N47:P47"/>
    <mergeCell ref="E46:G46"/>
    <mergeCell ref="H46:J46"/>
    <mergeCell ref="K46:M46"/>
    <mergeCell ref="E48:G48"/>
    <mergeCell ref="H48:J48"/>
    <mergeCell ref="K48:M48"/>
    <mergeCell ref="N48:P48"/>
    <mergeCell ref="B49:D49"/>
    <mergeCell ref="H47:J47"/>
    <mergeCell ref="K47:M47"/>
    <mergeCell ref="E45:G45"/>
    <mergeCell ref="H45:J45"/>
    <mergeCell ref="K45:M45"/>
    <mergeCell ref="N45:P45"/>
    <mergeCell ref="B45:D45"/>
    <mergeCell ref="B46:D46"/>
    <mergeCell ref="B47:D47"/>
    <mergeCell ref="B48:D48"/>
  </mergeCells>
  <conditionalFormatting sqref="B23">
    <cfRule type="cellIs" dxfId="73" priority="4" operator="greaterThan">
      <formula>0</formula>
    </cfRule>
  </conditionalFormatting>
  <conditionalFormatting sqref="B24">
    <cfRule type="cellIs" dxfId="72" priority="1" operator="greaterThan">
      <formula>1</formula>
    </cfRule>
  </conditionalFormatting>
  <conditionalFormatting sqref="B24:B25">
    <cfRule type="cellIs" dxfId="71" priority="3" operator="greaterThan">
      <formula>0</formula>
    </cfRule>
  </conditionalFormatting>
  <conditionalFormatting sqref="B42">
    <cfRule type="cellIs" dxfId="70" priority="29" operator="greaterThan">
      <formula>0</formula>
    </cfRule>
  </conditionalFormatting>
  <conditionalFormatting sqref="B43">
    <cfRule type="cellIs" dxfId="69" priority="86" operator="greaterThan">
      <formula>1</formula>
    </cfRule>
    <cfRule type="cellIs" dxfId="68" priority="26" operator="greaterThan">
      <formula>1</formula>
    </cfRule>
  </conditionalFormatting>
  <conditionalFormatting sqref="B43:B44">
    <cfRule type="cellIs" dxfId="67" priority="28" operator="greaterThan">
      <formula>0</formula>
    </cfRule>
    <cfRule type="cellIs" dxfId="66" priority="88" operator="greaterThan">
      <formula>0</formula>
    </cfRule>
  </conditionalFormatting>
  <conditionalFormatting sqref="B46">
    <cfRule type="cellIs" dxfId="65" priority="23" operator="greaterThan">
      <formula>0</formula>
    </cfRule>
  </conditionalFormatting>
  <conditionalFormatting sqref="B47">
    <cfRule type="cellIs" dxfId="64" priority="20" operator="greaterThan">
      <formula>1</formula>
    </cfRule>
  </conditionalFormatting>
  <conditionalFormatting sqref="B47:B48">
    <cfRule type="cellIs" dxfId="63" priority="22" operator="greaterThan">
      <formula>0</formula>
    </cfRule>
  </conditionalFormatting>
  <conditionalFormatting sqref="B25:D25">
    <cfRule type="cellIs" dxfId="62" priority="61" operator="greaterThan">
      <formula>0</formula>
    </cfRule>
  </conditionalFormatting>
  <conditionalFormatting sqref="B44:D44">
    <cfRule type="cellIs" dxfId="61" priority="91" operator="greaterThan">
      <formula>0</formula>
    </cfRule>
  </conditionalFormatting>
  <conditionalFormatting sqref="B48:P48 R48">
    <cfRule type="cellIs" dxfId="60" priority="128" operator="greaterThan">
      <formula>0</formula>
    </cfRule>
  </conditionalFormatting>
  <conditionalFormatting sqref="B50:P50">
    <cfRule type="cellIs" dxfId="59" priority="25" operator="greaterThan">
      <formula>0</formula>
    </cfRule>
  </conditionalFormatting>
  <conditionalFormatting sqref="E24">
    <cfRule type="cellIs" dxfId="58" priority="62" operator="greaterThan">
      <formula>1</formula>
    </cfRule>
  </conditionalFormatting>
  <conditionalFormatting sqref="E24:E25">
    <cfRule type="cellIs" dxfId="57" priority="64" operator="greaterThan">
      <formula>0</formula>
    </cfRule>
  </conditionalFormatting>
  <conditionalFormatting sqref="E42">
    <cfRule type="cellIs" dxfId="56" priority="34" operator="greaterThan">
      <formula>0</formula>
    </cfRule>
  </conditionalFormatting>
  <conditionalFormatting sqref="E43">
    <cfRule type="cellIs" dxfId="55" priority="97" operator="greaterThan">
      <formula>1</formula>
    </cfRule>
    <cfRule type="cellIs" dxfId="54" priority="92" operator="greaterThan">
      <formula>1</formula>
    </cfRule>
    <cfRule type="cellIs" dxfId="53" priority="31" operator="greaterThan">
      <formula>1</formula>
    </cfRule>
  </conditionalFormatting>
  <conditionalFormatting sqref="E43:E44">
    <cfRule type="cellIs" dxfId="52" priority="99" operator="greaterThan">
      <formula>0</formula>
    </cfRule>
    <cfRule type="cellIs" dxfId="51" priority="94" operator="greaterThan">
      <formula>0</formula>
    </cfRule>
    <cfRule type="cellIs" dxfId="50" priority="33" operator="greaterThan">
      <formula>0</formula>
    </cfRule>
  </conditionalFormatting>
  <conditionalFormatting sqref="E46">
    <cfRule type="cellIs" dxfId="49" priority="49" operator="greaterThan">
      <formula>0</formula>
    </cfRule>
  </conditionalFormatting>
  <conditionalFormatting sqref="E47">
    <cfRule type="cellIs" dxfId="48" priority="46" operator="greaterThan">
      <formula>1</formula>
    </cfRule>
  </conditionalFormatting>
  <conditionalFormatting sqref="E47:E48">
    <cfRule type="cellIs" dxfId="47" priority="48" operator="greaterThan">
      <formula>0</formula>
    </cfRule>
  </conditionalFormatting>
  <conditionalFormatting sqref="E25:G25">
    <cfRule type="cellIs" dxfId="46" priority="67" operator="greaterThan">
      <formula>0</formula>
    </cfRule>
  </conditionalFormatting>
  <conditionalFormatting sqref="E44:G44">
    <cfRule type="cellIs" dxfId="45" priority="102" operator="greaterThan">
      <formula>0</formula>
    </cfRule>
  </conditionalFormatting>
  <conditionalFormatting sqref="E23:H23">
    <cfRule type="cellIs" dxfId="44" priority="65" operator="greaterThan">
      <formula>0</formula>
    </cfRule>
  </conditionalFormatting>
  <conditionalFormatting sqref="E24:P24">
    <cfRule type="cellIs" dxfId="43" priority="81" operator="greaterThan">
      <formula>0</formula>
    </cfRule>
  </conditionalFormatting>
  <conditionalFormatting sqref="E43:P43">
    <cfRule type="cellIs" dxfId="42" priority="125" operator="greaterThan">
      <formula>0</formula>
    </cfRule>
  </conditionalFormatting>
  <conditionalFormatting sqref="H24 K24">
    <cfRule type="cellIs" dxfId="41" priority="68" operator="greaterThan">
      <formula>1</formula>
    </cfRule>
  </conditionalFormatting>
  <conditionalFormatting sqref="H24:H25 K24:K25">
    <cfRule type="cellIs" dxfId="40" priority="70" operator="greaterThan">
      <formula>0</formula>
    </cfRule>
  </conditionalFormatting>
  <conditionalFormatting sqref="H42 K42:N42">
    <cfRule type="cellIs" dxfId="39" priority="39" operator="greaterThan">
      <formula>0</formula>
    </cfRule>
  </conditionalFormatting>
  <conditionalFormatting sqref="H43 K43">
    <cfRule type="cellIs" dxfId="38" priority="108" operator="greaterThan">
      <formula>1</formula>
    </cfRule>
    <cfRule type="cellIs" dxfId="37" priority="36" operator="greaterThan">
      <formula>1</formula>
    </cfRule>
  </conditionalFormatting>
  <conditionalFormatting sqref="H43:H44 K43:K44">
    <cfRule type="cellIs" dxfId="36" priority="38" operator="greaterThan">
      <formula>0</formula>
    </cfRule>
    <cfRule type="cellIs" dxfId="35" priority="105" operator="greaterThan">
      <formula>0</formula>
    </cfRule>
    <cfRule type="cellIs" dxfId="34" priority="110" operator="greaterThan">
      <formula>0</formula>
    </cfRule>
  </conditionalFormatting>
  <conditionalFormatting sqref="H46 K46:N46">
    <cfRule type="cellIs" dxfId="33" priority="54" operator="greaterThan">
      <formula>0</formula>
    </cfRule>
  </conditionalFormatting>
  <conditionalFormatting sqref="H47 K47">
    <cfRule type="cellIs" dxfId="32" priority="51" operator="greaterThan">
      <formula>1</formula>
    </cfRule>
  </conditionalFormatting>
  <conditionalFormatting sqref="H47:H48 K47:K48">
    <cfRule type="cellIs" dxfId="31" priority="53" operator="greaterThan">
      <formula>0</formula>
    </cfRule>
  </conditionalFormatting>
  <conditionalFormatting sqref="H25:M25">
    <cfRule type="cellIs" dxfId="30" priority="73" operator="greaterThan">
      <formula>0</formula>
    </cfRule>
  </conditionalFormatting>
  <conditionalFormatting sqref="H44:M44">
    <cfRule type="cellIs" dxfId="29" priority="113" operator="greaterThan">
      <formula>0</formula>
    </cfRule>
  </conditionalFormatting>
  <conditionalFormatting sqref="K43 H43">
    <cfRule type="cellIs" dxfId="28" priority="103" operator="greaterThan">
      <formula>1</formula>
    </cfRule>
  </conditionalFormatting>
  <conditionalFormatting sqref="K24:N24">
    <cfRule type="cellIs" dxfId="27" priority="75" operator="greaterThan">
      <formula>1</formula>
    </cfRule>
  </conditionalFormatting>
  <conditionalFormatting sqref="K24:N25">
    <cfRule type="cellIs" dxfId="26" priority="77" operator="greaterThan">
      <formula>0</formula>
    </cfRule>
  </conditionalFormatting>
  <conditionalFormatting sqref="K43:N43">
    <cfRule type="cellIs" dxfId="25" priority="41" operator="greaterThan">
      <formula>1</formula>
    </cfRule>
    <cfRule type="cellIs" dxfId="24" priority="119" operator="greaterThan">
      <formula>1</formula>
    </cfRule>
    <cfRule type="cellIs" dxfId="23" priority="114" operator="greaterThan">
      <formula>1</formula>
    </cfRule>
  </conditionalFormatting>
  <conditionalFormatting sqref="K43:N44">
    <cfRule type="cellIs" dxfId="22" priority="43" operator="greaterThan">
      <formula>0</formula>
    </cfRule>
    <cfRule type="cellIs" dxfId="21" priority="116" operator="greaterThan">
      <formula>0</formula>
    </cfRule>
    <cfRule type="cellIs" dxfId="20" priority="121" operator="greaterThan">
      <formula>0</formula>
    </cfRule>
  </conditionalFormatting>
  <conditionalFormatting sqref="K47:N47">
    <cfRule type="cellIs" dxfId="19" priority="56" operator="greaterThan">
      <formula>1</formula>
    </cfRule>
  </conditionalFormatting>
  <conditionalFormatting sqref="K47:N48">
    <cfRule type="cellIs" dxfId="18" priority="58" operator="greaterThan">
      <formula>0</formula>
    </cfRule>
  </conditionalFormatting>
  <conditionalFormatting sqref="K23:P23">
    <cfRule type="cellIs" dxfId="17" priority="71" operator="greaterThan">
      <formula>0</formula>
    </cfRule>
  </conditionalFormatting>
  <conditionalFormatting sqref="K25:P25">
    <cfRule type="cellIs" dxfId="16" priority="80" operator="greaterThan">
      <formula>0</formula>
    </cfRule>
  </conditionalFormatting>
  <conditionalFormatting sqref="K44:P44">
    <cfRule type="cellIs" dxfId="15" priority="124" operator="greaterThan">
      <formula>0</formula>
    </cfRule>
  </conditionalFormatting>
  <conditionalFormatting sqref="K47:P47">
    <cfRule type="cellIs" dxfId="14" priority="129" operator="greaterThan">
      <formula>0</formula>
    </cfRule>
  </conditionalFormatting>
  <conditionalFormatting sqref="R23">
    <cfRule type="cellIs" dxfId="13" priority="7" operator="greaterThan">
      <formula>0</formula>
    </cfRule>
    <cfRule type="cellIs" dxfId="12" priority="6" operator="greaterThan">
      <formula>0</formula>
    </cfRule>
  </conditionalFormatting>
  <conditionalFormatting sqref="R24">
    <cfRule type="cellIs" dxfId="11" priority="8" operator="greaterThan">
      <formula>0</formula>
    </cfRule>
  </conditionalFormatting>
  <conditionalFormatting sqref="R25">
    <cfRule type="cellIs" dxfId="10" priority="9" operator="greaterThan">
      <formula>0</formula>
    </cfRule>
    <cfRule type="cellIs" dxfId="9" priority="10" operator="greaterThan">
      <formula>0</formula>
    </cfRule>
  </conditionalFormatting>
  <conditionalFormatting sqref="R42">
    <cfRule type="cellIs" dxfId="8" priority="12" operator="greaterThan">
      <formula>0</formula>
    </cfRule>
    <cfRule type="cellIs" dxfId="7" priority="11" operator="greaterThan">
      <formula>0</formula>
    </cfRule>
  </conditionalFormatting>
  <conditionalFormatting sqref="R43">
    <cfRule type="cellIs" dxfId="6" priority="13" operator="greaterThan">
      <formula>0</formula>
    </cfRule>
  </conditionalFormatting>
  <conditionalFormatting sqref="R44">
    <cfRule type="cellIs" dxfId="5" priority="14" operator="greaterThan">
      <formula>0</formula>
    </cfRule>
    <cfRule type="cellIs" dxfId="4" priority="15" operator="greaterThan">
      <formula>0</formula>
    </cfRule>
  </conditionalFormatting>
  <conditionalFormatting sqref="R46">
    <cfRule type="cellIs" dxfId="3" priority="16" operator="greaterThan">
      <formula>0</formula>
    </cfRule>
    <cfRule type="cellIs" dxfId="2" priority="17" operator="greaterThan">
      <formula>0</formula>
    </cfRule>
  </conditionalFormatting>
  <conditionalFormatting sqref="R47">
    <cfRule type="cellIs" dxfId="1" priority="18" operator="greaterThan">
      <formula>0</formula>
    </cfRule>
  </conditionalFormatting>
  <conditionalFormatting sqref="R48">
    <cfRule type="cellIs" dxfId="0" priority="19" operator="greaterThan">
      <formula>0</formula>
    </cfRule>
  </conditionalFormatting>
  <pageMargins left="0.25" right="0.25" top="0.75" bottom="0.75" header="0.3" footer="0.3"/>
  <pageSetup scale="74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54a7cc-6a7f-44bd-aba8-1618338f318f" xsi:nil="true"/>
    <lcf76f155ced4ddcb4097134ff3c332f xmlns="54a91ee4-cad7-4e7c-beb9-ca49dfcaea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936AA616047442B99CB2D41D78D9EF" ma:contentTypeVersion="14" ma:contentTypeDescription="Create a new document." ma:contentTypeScope="" ma:versionID="1ebde338a5b6d1029fe1543f6523135a">
  <xsd:schema xmlns:xsd="http://www.w3.org/2001/XMLSchema" xmlns:xs="http://www.w3.org/2001/XMLSchema" xmlns:p="http://schemas.microsoft.com/office/2006/metadata/properties" xmlns:ns2="54a91ee4-cad7-4e7c-beb9-ca49dfcaea11" xmlns:ns3="cb54a7cc-6a7f-44bd-aba8-1618338f318f" targetNamespace="http://schemas.microsoft.com/office/2006/metadata/properties" ma:root="true" ma:fieldsID="5f26c9e1d1ef7ee99defd8b701a90393" ns2:_="" ns3:_="">
    <xsd:import namespace="54a91ee4-cad7-4e7c-beb9-ca49dfcaea11"/>
    <xsd:import namespace="cb54a7cc-6a7f-44bd-aba8-1618338f3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91ee4-cad7-4e7c-beb9-ca49dfcaea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c03168-6650-4e0c-aee8-513db7d6f6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4a7cc-6a7f-44bd-aba8-1618338f318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0fef536-d0e5-4d21-a551-4698fdadfde2}" ma:internalName="TaxCatchAll" ma:showField="CatchAllData" ma:web="cb54a7cc-6a7f-44bd-aba8-1618338f3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DA1DD3-0867-4DED-AA72-8F9D9713CBF7}">
  <ds:schemaRefs>
    <ds:schemaRef ds:uri="http://schemas.microsoft.com/office/2006/metadata/properties"/>
    <ds:schemaRef ds:uri="http://schemas.microsoft.com/office/infopath/2007/PartnerControls"/>
    <ds:schemaRef ds:uri="cb54a7cc-6a7f-44bd-aba8-1618338f318f"/>
    <ds:schemaRef ds:uri="54a91ee4-cad7-4e7c-beb9-ca49dfcaea11"/>
  </ds:schemaRefs>
</ds:datastoreItem>
</file>

<file path=customXml/itemProps2.xml><?xml version="1.0" encoding="utf-8"?>
<ds:datastoreItem xmlns:ds="http://schemas.openxmlformats.org/officeDocument/2006/customXml" ds:itemID="{72F01ACF-898D-4901-BFAF-0150CF9D39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EFD56B-0D46-4555-A68B-614F4394A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23</vt:i4>
      </vt:variant>
    </vt:vector>
  </HeadingPairs>
  <TitlesOfParts>
    <vt:vector size="43" baseType="lpstr">
      <vt:lpstr>Jan 2026</vt:lpstr>
      <vt:lpstr>Feb 2026</vt:lpstr>
      <vt:lpstr>Mar 2026</vt:lpstr>
      <vt:lpstr>Apr 2026</vt:lpstr>
      <vt:lpstr>May 2026</vt:lpstr>
      <vt:lpstr>June 2026</vt:lpstr>
      <vt:lpstr>July 2026</vt:lpstr>
      <vt:lpstr>Aug 2026</vt:lpstr>
      <vt:lpstr>Sept 2026</vt:lpstr>
      <vt:lpstr>Oct 2026</vt:lpstr>
      <vt:lpstr>Nov 2026</vt:lpstr>
      <vt:lpstr>Dec 2026</vt:lpstr>
      <vt:lpstr>May 2021</vt:lpstr>
      <vt:lpstr>June 2021</vt:lpstr>
      <vt:lpstr>July 2021</vt:lpstr>
      <vt:lpstr>Aug 2021</vt:lpstr>
      <vt:lpstr>Sept 2021</vt:lpstr>
      <vt:lpstr>Oct 2021</vt:lpstr>
      <vt:lpstr>Nov 2021</vt:lpstr>
      <vt:lpstr>Dec 2021</vt:lpstr>
      <vt:lpstr>dates</vt:lpstr>
      <vt:lpstr>HO</vt:lpstr>
      <vt:lpstr>holidays</vt:lpstr>
      <vt:lpstr>'Apr 2026'!Print_Area</vt:lpstr>
      <vt:lpstr>'Aug 2021'!Print_Area</vt:lpstr>
      <vt:lpstr>'Aug 2026'!Print_Area</vt:lpstr>
      <vt:lpstr>'Dec 2021'!Print_Area</vt:lpstr>
      <vt:lpstr>'Dec 2026'!Print_Area</vt:lpstr>
      <vt:lpstr>'Feb 2026'!Print_Area</vt:lpstr>
      <vt:lpstr>'Jan 2026'!Print_Area</vt:lpstr>
      <vt:lpstr>'July 2021'!Print_Area</vt:lpstr>
      <vt:lpstr>'July 2026'!Print_Area</vt:lpstr>
      <vt:lpstr>'June 2021'!Print_Area</vt:lpstr>
      <vt:lpstr>'June 2026'!Print_Area</vt:lpstr>
      <vt:lpstr>'Mar 2026'!Print_Area</vt:lpstr>
      <vt:lpstr>'May 2021'!Print_Area</vt:lpstr>
      <vt:lpstr>'May 2026'!Print_Area</vt:lpstr>
      <vt:lpstr>'Nov 2021'!Print_Area</vt:lpstr>
      <vt:lpstr>'Nov 2026'!Print_Area</vt:lpstr>
      <vt:lpstr>'Oct 2021'!Print_Area</vt:lpstr>
      <vt:lpstr>'Oct 2026'!Print_Area</vt:lpstr>
      <vt:lpstr>'Sept 2021'!Print_Area</vt:lpstr>
      <vt:lpstr>'Sept 2026'!Print_Area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Robinson</dc:creator>
  <cp:keywords/>
  <dc:description/>
  <cp:lastModifiedBy>Katie Knowland</cp:lastModifiedBy>
  <cp:revision/>
  <dcterms:created xsi:type="dcterms:W3CDTF">2020-02-26T17:44:22Z</dcterms:created>
  <dcterms:modified xsi:type="dcterms:W3CDTF">2025-11-25T22:49:12Z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0x01010023936AA616047442B99CB2D41D78D9EF</vt:lpwstr>
  </property>
  <property fmtid="{D5CDD505-2E9C-101B-9397-08002B2CF9AE}" pid="3" name="MediaServiceImageTags">
    <vt:lpwstr/>
  </property>
</Properties>
</file>